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GIT\BrandVue\testdata\EatingOut\config\"/>
    </mc:Choice>
  </mc:AlternateContent>
  <xr:revisionPtr revIDLastSave="0" documentId="13_ncr:1_{400B19AC-2671-4C03-B9D7-59F7628F61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randFields" sheetId="1" r:id="rId1"/>
    <sheet name="ProfilingFields" sheetId="2" r:id="rId2"/>
    <sheet name="Sub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08" i="1" l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7" i="1"/>
  <c r="E66" i="1"/>
  <c r="E65" i="1"/>
  <c r="E64" i="1"/>
  <c r="E63" i="1"/>
  <c r="E62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</calcChain>
</file>

<file path=xl/sharedStrings.xml><?xml version="1.0" encoding="utf-8"?>
<sst xmlns="http://schemas.openxmlformats.org/spreadsheetml/2006/main" count="2912" uniqueCount="879">
  <si>
    <t>field</t>
  </si>
  <si>
    <t>usageId</t>
  </si>
  <si>
    <t>hasBrandSuffix</t>
  </si>
  <si>
    <t>type</t>
  </si>
  <si>
    <t>name</t>
  </si>
  <si>
    <t>categories</t>
  </si>
  <si>
    <t>fieldName</t>
  </si>
  <si>
    <t>profileField</t>
  </si>
  <si>
    <t>profileValues</t>
  </si>
  <si>
    <t>Additional_diners_</t>
  </si>
  <si>
    <t>n</t>
  </si>
  <si>
    <t>Value</t>
  </si>
  <si>
    <t>Additional_diners</t>
  </si>
  <si>
    <t>1:Friends|2:Work colleagues|3:Work clients / customers|4:Family|5:Partner / spouse|6:Just myself</t>
  </si>
  <si>
    <t>#BRAND#</t>
  </si>
  <si>
    <t>Advertising_awareness</t>
  </si>
  <si>
    <t>Alternative_choice_</t>
  </si>
  <si>
    <t>y</t>
  </si>
  <si>
    <t>Category1</t>
  </si>
  <si>
    <t>Alternative_choice</t>
  </si>
  <si>
    <t>101:All Bar One|102:AMT Coffee|103:Asda café|0:ASK Italian|104:Bagel Factory|105:Bar + Block|106:Barburrito|1:Beefeater|107:Belgo|2:Bella Italia|53:Bill's|108:Bistrot Pierre|51:Brasserie Blanc|3:Brewers Fayre|109:Browns|110:Burger King|111:Busaba Eathai|33:Byron|5:Café Rouge|112:Caffè Nero|6:Carluccio's|113:CAU|56:Chef &amp; Brewer|114:Chicken Cottage|115:Chilango|63:Chimichanga|116:Chipotle|7:Chiquito|117:Coast to Coast|118:Coco di mama|120:Coffee Republic|119:Coffee#1|121:Costa|36:Côte|186:Creams Cafe|122:Crown Carveries|123:Deliveroo|189:Dobbies Garden Centre Café|124:Domino's|125:EAT|126:Eating Inn|67:Ed's Easy Diner|54:Ember Inns|127:Farmhouse Inns|59:Fayre and Square|65:Five Guys|60:Flaming Grill|9:Frankie and Benny's|61:Gail's|128:Garfunkel's|129:Gaucho|130:Generous George|320:Giggling Squid|10:Giraffe|11:Gourmet Burger Kitchen|131:Greggs|185:Handmade burger co.|132:Harry Ramsden's|13:Harvester|134:Honest Burgers|32:Hungry Horse|135:Hungry House|136:IKEA|137:Itsu|15:Jamie's Italian|138:Jinn|139:Joe &amp; The Juice|140:John Barras|190:John Lewis Café|141:Just Eat|142:KFC|17:La Tasca|64:Las Iguanas|62:Le Pain Quotidien|143:Leon|144:Lloyds No.1 Bar|18:Loch Fyne|66:Loungers|187:M&amp;S Café|145:McDonald's|57:Miller &amp; Carter|146:Millie's Cookies|193:MOD Pizza|147:Morrisons Café|19:Nando's|148:Nicholson's|149:Old English Inns|150:Oneill's|151:Papa John's|152:Patisserie Valerie|153:Paul|154:Pho|50:Ping Pong|155:Pitcher &amp; Piano|21:Pizza Express|156:Pizza Hut Delivery|22:Pizza Hut Restaurants|157:Pod|158:Pret A Manger|23:Prezzo|192:Roosters Piri Piri|159:Sainsburys Café|160:Shake Shack|161:Shakeaway|35:Sizzling Pubs|162:Slug &amp; Lettuce|191:Smashburger|163:Starbucks|164:Stonehouse Pizza &amp; Carvery|24:Strada|165:Subway|25:TGI Fridays|34:Table Table|166:TakeEatEasy|167:Tesco Café|168:Thorntons Café|28:Toby Carvery|169:Tortilla|170:Tossed|171:Turtle Bay|172:Two for One|173:UberEats|174:Upper Crust|175:Veeno|176:Vintage Inns|177:Wacky Warehouse|29:Wagamama|52:Wahaca|188:Waitrose Café|178:Wasabi|179:West Cornwall Pasty Company|16:Wetherspoon|180:Wild Bean Café|181:Wimpy|182:Wok&amp;Go|183:Wyevale Garden Centre Café|184:Yates's|30:YO Sushi|31:Zizzi|69:Franco Manca|194:Coppa Club|195:The Breakfast Club|196:Benugo|197:Wildwood|198:Little Chef|199:Chopstix|200:The Real Greek|201:Chop'd|202:Pizza Pilgrims|203:Cosmo|204:Meat Liquor|205:Comptoir Libanais|206:Cosy Club|207:Department of Coffee and Social Affairs|208:Dirty Martini|209:Gusto|210:Piccolino|211:Revolution|212:The Stable|213:Tim Hortons|998:I was only considering this brand</t>
  </si>
  <si>
    <t>Alternative options #PAGECHOICE# (5 of 8): Which other brand, if any, did you also consider when you chose to visit / use #PAGECHOICE#? Please select one option</t>
  </si>
  <si>
    <t>Before_experience_</t>
  </si>
  <si>
    <t>Before_experience</t>
  </si>
  <si>
    <t>1:Home|2:Work|3:School / college|4:Shops|5:Cinema / theatre / match / event|6:Another pub / bar / café / coffee shop|7:Somewhere else</t>
  </si>
  <si>
    <t>Brand_advantage</t>
  </si>
  <si>
    <t>1:One of the BEST brands|2:BETTER than most other brands|3:AS GOOD but not better|4:NOT as good as other brands|100:I don't have an opinion of this brand</t>
  </si>
  <si>
    <t>Brand_affinity</t>
  </si>
  <si>
    <t>1:&lt;span style='color:#4FC60F'&gt;Love&lt;/span&gt;|2:&lt;span style='color:#84C710'&gt;Like a lot&lt;/span&gt;|3:&lt;span style='color:#B8C811'&gt;Like a little&lt;/span&gt;|4:&lt;span style='color:#C9A411'&gt;Indifferent&lt;/span&gt;|5:&lt;span style='color:#CA7212'&gt;Dislike a little&lt;/span&gt;|6:&lt;span style='color:#CB3F13'&gt;Dislike a lot&lt;/span&gt;|7:&lt;span style='color:#CC131C'&gt;Hate&lt;/span&gt;|100:I don't have an opinion of this brand</t>
  </si>
  <si>
    <t>Consider</t>
  </si>
  <si>
    <t>Consumer_segment</t>
  </si>
  <si>
    <t>1:I do NOT know this brand|2:I know this brand but have NEVER used it|3:More than 12 months ago|4:4 to 12 months ago|5:2 to 3 months ago|6:In the LAST month</t>
  </si>
  <si>
    <t>Consumer_segment_Affinity</t>
  </si>
  <si>
    <t>Route_base</t>
  </si>
  <si>
    <t>Consumer_segment_Advantage</t>
  </si>
  <si>
    <t>Consumer_segment_Delivery</t>
  </si>
  <si>
    <t>DeliveryOrTakeaway_seen</t>
  </si>
  <si>
    <t>Consumer_segment_Takeaway</t>
  </si>
  <si>
    <t>Consumer_segment_age_15_100</t>
  </si>
  <si>
    <t>Age</t>
  </si>
  <si>
    <t>16|17|18|19|20|21|22|23|24|25|26|27|28|29|30|31|32|33|34|35|36|37|38|39|4041|42|43|44|45|46|47|48|49|50|51|52|53|54|55|56|57|58|59|60|61|62|63|64|65|66|67|68|69|70|71|72|73|74|75|76|77|78|79|80|81|82|83|84|85|86|87|88|89|90|91|92|93|94|95|96|97|98|99|100</t>
  </si>
  <si>
    <t>Consumer_segment_age_39_100</t>
  </si>
  <si>
    <t>41|42|43|44|45|46|47|48|49|50|51|52|53|54|55|56|57|58|59|60|61|62|63|64|65|66|67|68|69|70|71|72|73|74|75|76|77|78|79|80|81|82|83|84|85|86|87|88|89|90|91|92|93|94|95|96|97|98|99|100</t>
  </si>
  <si>
    <t>Consumer_segment_age_0_40</t>
  </si>
  <si>
    <t>0|1|2|3|4|5|6|7|8|9|10|11|12|13|14|15|16|17|18|19|20|21|22|23|24|25|26|27|28|29|30|31|32|33|34|35|36|37|38|39|40</t>
  </si>
  <si>
    <t>Day_of_the_week_</t>
  </si>
  <si>
    <t>Day_of_the_week</t>
  </si>
  <si>
    <t>1:Monday|2:Tuesday|3:Wednesday|4:Thursday|5:Friday|6:Saturday|7:Sunday</t>
  </si>
  <si>
    <t>Decision_maker</t>
  </si>
  <si>
    <t>1:You|2:Your partner|3:Friend|4:Family member|5:Colleague|6:Group decision</t>
  </si>
  <si>
    <t>Discount_used_</t>
  </si>
  <si>
    <t>Discount_used</t>
  </si>
  <si>
    <t>1:Yes|2:No</t>
  </si>
  <si>
    <t>Drinks_</t>
  </si>
  <si>
    <t>Coffee</t>
  </si>
  <si>
    <t>Tea</t>
  </si>
  <si>
    <t>Hot chocolate</t>
  </si>
  <si>
    <t>Bottled water</t>
  </si>
  <si>
    <t>Fruit juice / smoothie</t>
  </si>
  <si>
    <t>Carbonated soft drink</t>
  </si>
  <si>
    <t>Juice drink / flavoured water</t>
  </si>
  <si>
    <t>Milkshake / milk drink</t>
  </si>
  <si>
    <t>Tap water</t>
  </si>
  <si>
    <t>Beer / lager</t>
  </si>
  <si>
    <t>Cider</t>
  </si>
  <si>
    <t>Cocktail / spirit</t>
  </si>
  <si>
    <t>Wine / sparkling wine</t>
  </si>
  <si>
    <t>Drivers_</t>
  </si>
  <si>
    <t>Healthiness of food</t>
  </si>
  <si>
    <t>Flavour of the food</t>
  </si>
  <si>
    <t>Freshness of the food</t>
  </si>
  <si>
    <t>Different dietary requirements catered for</t>
  </si>
  <si>
    <t>Quality of ingredients</t>
  </si>
  <si>
    <t>Generosity of food portions</t>
  </si>
  <si>
    <t>Price attractiveness of food</t>
  </si>
  <si>
    <t>Children's menu</t>
  </si>
  <si>
    <t>Venue was clean / tidy</t>
  </si>
  <si>
    <t>Choice of drinks</t>
  </si>
  <si>
    <t>Price attractiveness of drinks</t>
  </si>
  <si>
    <t>Speed of payment process</t>
  </si>
  <si>
    <t>Value for money</t>
  </si>
  <si>
    <t>Atmosphere / ambience</t>
  </si>
  <si>
    <t>Quality of service</t>
  </si>
  <si>
    <t>Quality of coffee / hot drinks</t>
  </si>
  <si>
    <t>Friendliness of staff</t>
  </si>
  <si>
    <t>Speed of service</t>
  </si>
  <si>
    <t>Ease of ordering</t>
  </si>
  <si>
    <t>Speed of delivery</t>
  </si>
  <si>
    <t>Accuarcy of the food delivered (vs what you ordered)</t>
  </si>
  <si>
    <t>Temperature of the food</t>
  </si>
  <si>
    <t>The containers the food arrived in</t>
  </si>
  <si>
    <t>Friendliness of the delivery person</t>
  </si>
  <si>
    <t>Stylish decor</t>
  </si>
  <si>
    <t>Well-maintained decor</t>
  </si>
  <si>
    <t>Menu quality</t>
  </si>
  <si>
    <t>Favourite</t>
  </si>
  <si>
    <t>First_visit_</t>
  </si>
  <si>
    <t>First_visit</t>
  </si>
  <si>
    <t>Food_detail_</t>
  </si>
  <si>
    <t>Starter</t>
  </si>
  <si>
    <t>Main</t>
  </si>
  <si>
    <t>Side dish</t>
  </si>
  <si>
    <t>Dessert</t>
  </si>
  <si>
    <t>Light bite (savoury)</t>
  </si>
  <si>
    <t>Light bite (sweet)</t>
  </si>
  <si>
    <t>Frequency_numeric</t>
  </si>
  <si>
    <t>How_long_</t>
  </si>
  <si>
    <t>How_long</t>
  </si>
  <si>
    <t>Image_associate_</t>
  </si>
  <si>
    <t xml:space="preserve"> Affordable</t>
  </si>
  <si>
    <t xml:space="preserve"> Authentic</t>
  </si>
  <si>
    <t xml:space="preserve"> Convenient</t>
  </si>
  <si>
    <t xml:space="preserve"> Cool</t>
  </si>
  <si>
    <t xml:space="preserve"> Delicious</t>
  </si>
  <si>
    <t xml:space="preserve"> Different</t>
  </si>
  <si>
    <t xml:space="preserve"> Ethical</t>
  </si>
  <si>
    <t xml:space="preserve"> Everyday</t>
  </si>
  <si>
    <t xml:space="preserve"> Exciting</t>
  </si>
  <si>
    <t xml:space="preserve"> Expert</t>
  </si>
  <si>
    <t xml:space="preserve"> Family</t>
  </si>
  <si>
    <t xml:space="preserve"> Fashionable</t>
  </si>
  <si>
    <t xml:space="preserve"> Fresh</t>
  </si>
  <si>
    <t xml:space="preserve"> Friendly</t>
  </si>
  <si>
    <t xml:space="preserve"> Fun</t>
  </si>
  <si>
    <t xml:space="preserve"> Generous</t>
  </si>
  <si>
    <t xml:space="preserve"> Good value</t>
  </si>
  <si>
    <t xml:space="preserve"> Has character</t>
  </si>
  <si>
    <t xml:space="preserve"> Healthy</t>
  </si>
  <si>
    <t xml:space="preserve"> Homely</t>
  </si>
  <si>
    <t xml:space="preserve"> Lively</t>
  </si>
  <si>
    <t xml:space="preserve"> Local</t>
  </si>
  <si>
    <t xml:space="preserve"> New</t>
  </si>
  <si>
    <t xml:space="preserve"> Premium</t>
  </si>
  <si>
    <t xml:space="preserve"> Quick</t>
  </si>
  <si>
    <t xml:space="preserve"> Quirky</t>
  </si>
  <si>
    <t xml:space="preserve"> Stylish</t>
  </si>
  <si>
    <t xml:space="preserve"> Trustworthy</t>
  </si>
  <si>
    <t xml:space="preserve"> Guilty pleasure</t>
  </si>
  <si>
    <t>Impact_of_discount_</t>
  </si>
  <si>
    <t>Impact_of_discount</t>
  </si>
  <si>
    <t>1:Yes - would have gone anyway|2:No - would not have gone there|3:Don't know/not sure</t>
  </si>
  <si>
    <t>Lost_demand_drivers_</t>
  </si>
  <si>
    <t>Better spirits and cocktails</t>
  </si>
  <si>
    <t>Better coffee / hot drinks</t>
  </si>
  <si>
    <t>Better soft drinks</t>
  </si>
  <si>
    <t>Better wine list</t>
  </si>
  <si>
    <t>Better beers and ciders</t>
  </si>
  <si>
    <t>Drinks are better priced</t>
  </si>
  <si>
    <t>Wider menu choice</t>
  </si>
  <si>
    <t>Healthier food options</t>
  </si>
  <si>
    <t>Most regular menu changes</t>
  </si>
  <si>
    <t>More generous portions</t>
  </si>
  <si>
    <t>Adding specific dishes I like</t>
  </si>
  <si>
    <t>Fresher products</t>
  </si>
  <si>
    <t>Cater better for dietary needs</t>
  </si>
  <si>
    <t>More attractively priced food</t>
  </si>
  <si>
    <t>Better quality / taste of food</t>
  </si>
  <si>
    <t>A better loyalty programme</t>
  </si>
  <si>
    <t>Availability of a voucher / discount</t>
  </si>
  <si>
    <t>Better meal deals</t>
  </si>
  <si>
    <t>Faster service</t>
  </si>
  <si>
    <t>Friendlier staff</t>
  </si>
  <si>
    <t>Quicker to pay</t>
  </si>
  <si>
    <t>More knowledgeable staff</t>
  </si>
  <si>
    <t>Better opening times</t>
  </si>
  <si>
    <t>Nearer to my home or work</t>
  </si>
  <si>
    <t>Nearer to where I was at the time</t>
  </si>
  <si>
    <t>More convenient location to meet</t>
  </si>
  <si>
    <t>Better for children</t>
  </si>
  <si>
    <t>Better disabled access</t>
  </si>
  <si>
    <t>Better Wi-Fi</t>
  </si>
  <si>
    <t>Can pre-book online</t>
  </si>
  <si>
    <t>If you could always get a seat</t>
  </si>
  <si>
    <t>If easier to park</t>
  </si>
  <si>
    <t>Better music</t>
  </si>
  <si>
    <t>Livelier, buzzier atmosphere</t>
  </si>
  <si>
    <t>Quieter / better place to talk</t>
  </si>
  <si>
    <t>More relaxing atmosphere</t>
  </si>
  <si>
    <t>Marketing_influence_</t>
  </si>
  <si>
    <t xml:space="preserve"> Their website</t>
  </si>
  <si>
    <t xml:space="preserve"> Their social media (Facebook / Twitter / Instargram)</t>
  </si>
  <si>
    <t xml:space="preserve"> Reviews online</t>
  </si>
  <si>
    <t xml:space="preserve"> Their location on Google maps</t>
  </si>
  <si>
    <t xml:space="preserve"> A voucher / special offer</t>
  </si>
  <si>
    <t xml:space="preserve"> Booking app/website e</t>
  </si>
  <si>
    <t xml:space="preserve"> Menu / poster in the window</t>
  </si>
  <si>
    <t xml:space="preserve"> Advert (TV, radio, billboard, online etc</t>
  </si>
  <si>
    <t xml:space="preserve"> A friend's recommendation</t>
  </si>
  <si>
    <t xml:space="preserve"> Received an email</t>
  </si>
  <si>
    <t>Negative_buzz</t>
  </si>
  <si>
    <t>Not_consider</t>
  </si>
  <si>
    <t>Number_of_diners_</t>
  </si>
  <si>
    <t>0|1|2|3|4|5|6|7|8|9|10</t>
  </si>
  <si>
    <t xml:space="preserve"> Adults (aged 16+)</t>
  </si>
  <si>
    <t xml:space="preserve"> Children (aged 2 to 15)</t>
  </si>
  <si>
    <t>Occasion_association_</t>
  </si>
  <si>
    <t xml:space="preserve"> Having a treat</t>
  </si>
  <si>
    <t xml:space="preserve"> During a work-based journey</t>
  </si>
  <si>
    <t xml:space="preserve"> Part of my regular routine</t>
  </si>
  <si>
    <t xml:space="preserve"> Get together with friends / family</t>
  </si>
  <si>
    <t xml:space="preserve"> Couldn't be bothered to cook</t>
  </si>
  <si>
    <t xml:space="preserve"> Whilst out shopping</t>
  </si>
  <si>
    <t xml:space="preserve"> To take a break / relax</t>
  </si>
  <si>
    <t xml:space="preserve"> During a leisure-based journey</t>
  </si>
  <si>
    <t xml:space="preserve"> Spend time with my partner</t>
  </si>
  <si>
    <t xml:space="preserve"> Romantic meal / date</t>
  </si>
  <si>
    <t xml:space="preserve"> Quick refuel</t>
  </si>
  <si>
    <t xml:space="preserve"> To eat a specific type of food</t>
  </si>
  <si>
    <t xml:space="preserve"> While out at another leisure activity</t>
  </si>
  <si>
    <t xml:space="preserve"> Business meeting / meal</t>
  </si>
  <si>
    <t xml:space="preserve"> To try something new or different</t>
  </si>
  <si>
    <t xml:space="preserve"> Because I had a voucher / promotion</t>
  </si>
  <si>
    <t xml:space="preserve"> Special occasion or celebration</t>
  </si>
  <si>
    <t>Planning_time_</t>
  </si>
  <si>
    <t>Level_of_planning</t>
  </si>
  <si>
    <t>1:As I passed by|2:A few minutes before|3:A hour or so before|4:Earlier that day|5:Yesterday|6:Longer ago</t>
  </si>
  <si>
    <t>Positive_buzz</t>
  </si>
  <si>
    <t>Price_reaction_</t>
  </si>
  <si>
    <t>Price_reaction</t>
  </si>
  <si>
    <t>1:A lot more than I expected to pay|2:Slightly more than I expected to pay|3:About what I expected to pay|4:Less than I expected to pay</t>
  </si>
  <si>
    <t>Reason_for_meal</t>
  </si>
  <si>
    <t>1:Having a treat|2:During a work-based journey|3:Part of my regular routine|4:Get together with friends / family|5:Couldn't be bothered to cook|6:Whilst out shopping|7:To take a break / relax|8:During a leisure-based journey|9:Spend time with my partner|10:Romantic meal / date|11:Quick refuel|12:To eat a specific type of food|13:While out at another leisure activity|14:Business meeting / meal|15:To try something new or different|16:Because I had a voucher / promotion|17:Special occasion or celebration</t>
  </si>
  <si>
    <t>Reason_for_meal_</t>
  </si>
  <si>
    <t>Occasion</t>
  </si>
  <si>
    <t>Reasons_for_choosing_</t>
  </si>
  <si>
    <t xml:space="preserve"> Wide menu choice</t>
  </si>
  <si>
    <t xml:space="preserve"> Healthy food options</t>
  </si>
  <si>
    <t xml:space="preserve"> Regularly changing menu</t>
  </si>
  <si>
    <t xml:space="preserve"> Generous portions</t>
  </si>
  <si>
    <t xml:space="preserve"> Specific dishes I like</t>
  </si>
  <si>
    <t xml:space="preserve"> Product freshness</t>
  </si>
  <si>
    <t xml:space="preserve"> Caters for dietary needs</t>
  </si>
  <si>
    <t xml:space="preserve"> Food is attractively priced</t>
  </si>
  <si>
    <t xml:space="preserve"> Good quality / taste</t>
  </si>
  <si>
    <t xml:space="preserve"> Loyalty programme</t>
  </si>
  <si>
    <t xml:space="preserve"> Had a voucher / discount</t>
  </si>
  <si>
    <t xml:space="preserve"> Like the meal deals</t>
  </si>
  <si>
    <t xml:space="preserve"> Fast service</t>
  </si>
  <si>
    <t xml:space="preserve"> Staff are always friendly</t>
  </si>
  <si>
    <t xml:space="preserve"> Quick and easy to pay</t>
  </si>
  <si>
    <t xml:space="preserve"> Staff are knowledgeable</t>
  </si>
  <si>
    <t xml:space="preserve"> Good opening times</t>
  </si>
  <si>
    <t>Near to my  home or work</t>
  </si>
  <si>
    <t>Near to where I was at the time</t>
  </si>
  <si>
    <t>Convenient place to meet</t>
  </si>
  <si>
    <t>Good for children</t>
  </si>
  <si>
    <t>Good for disabled access</t>
  </si>
  <si>
    <t>Good Wi-Fi</t>
  </si>
  <si>
    <t>You can book online</t>
  </si>
  <si>
    <t>You can always get a seat</t>
  </si>
  <si>
    <t>Easy to park</t>
  </si>
  <si>
    <t>Music is just right</t>
  </si>
  <si>
    <t>Lively, buzzy atmosphere</t>
  </si>
  <si>
    <t>Quiet / good place to talk</t>
  </si>
  <si>
    <t>Relaxing atmosphere</t>
  </si>
  <si>
    <t>Absence of children</t>
  </si>
  <si>
    <t>Great spirits and cocktails</t>
  </si>
  <si>
    <t>Great coffee / hot drinks</t>
  </si>
  <si>
    <t>Great soft drinks</t>
  </si>
  <si>
    <t>Great wine list</t>
  </si>
  <si>
    <t>Great beers and ciders</t>
  </si>
  <si>
    <t>Drinks are attractively priced</t>
  </si>
  <si>
    <t>Recommendation</t>
  </si>
  <si>
    <t>Satisfaction</t>
  </si>
  <si>
    <t>Spend_per_person_</t>
  </si>
  <si>
    <t>Spend_per_person</t>
  </si>
  <si>
    <t>Spontaneous_awareness_1</t>
  </si>
  <si>
    <t>BrandTextExact</t>
  </si>
  <si>
    <t>Spontaneous_awareness_restaurant</t>
  </si>
  <si>
    <t>Spontaneous_awareness_2</t>
  </si>
  <si>
    <t>Spontaneous_awareness_fastcasual</t>
  </si>
  <si>
    <t>Spontaneous_awareness_3</t>
  </si>
  <si>
    <t>Spontaneous_awareness_pub</t>
  </si>
  <si>
    <t>Spontaneous_awareness_4</t>
  </si>
  <si>
    <t>Spontaneous_awareness_cafe</t>
  </si>
  <si>
    <t>Spontaneous_awareness_5</t>
  </si>
  <si>
    <t>Spontaneous_awareness_delivery</t>
  </si>
  <si>
    <t>Time_of_day_visited_</t>
  </si>
  <si>
    <t>Time_of_day_visited</t>
  </si>
  <si>
    <t>1:breakfast (6am-10am)|2:mid-morning (10am-12pm)|3:lunch (12pm-3pm)|4:afternoon (3pm-5pm)|5:early evening (5pm-7pm)|6:evening (after 7pm)</t>
  </si>
  <si>
    <t>Type_of_discount_</t>
  </si>
  <si>
    <t>Type_of_discount</t>
  </si>
  <si>
    <t>1:A fixed £ amount off the bill|2:10-20% discount off food|3:25-40% discount off food|4:50% discount off food|5:A free food item (e.g. starter, main, dessert)|6:A free drink|7:2 for 1 on main courses|8:Money off - e.g. Tesco Clubcard voucher|100:Other type of voucher</t>
  </si>
  <si>
    <t>Visit_type_</t>
  </si>
  <si>
    <t>Visit_type</t>
  </si>
  <si>
    <t>1:Had the food / drinks at the place|2:Took the food / drinks to have at a different location|3:Ordered food / drinks to be delivered to you</t>
  </si>
  <si>
    <t>Yesterday_location_</t>
  </si>
  <si>
    <t>Yesterday_location</t>
  </si>
  <si>
    <t>1:Pub restaurant / bar|2:Restaurant|3:Coffee Shop / Cafe|4:Sandwich shop / Bakery store|5:Fast food outlet|6:Supermarket / convenience store to-go|7:Petrol forecourt|8:Market stall / van / street Food|9:Work / school canteen|10:Hotel|11:Kiosk|100:Other</t>
  </si>
  <si>
    <t>Yesterday_spend_</t>
  </si>
  <si>
    <t>Party_spend</t>
  </si>
  <si>
    <t>0: I didn't pay|1:1|2:2|3:3|4:4|5:5|6:6|7:7|8:8|9:9|10:10|11:11|12:12|13:13|14:14|15:15|16:16|17:17|18:18|19:19|20:20|21:21|22:22|23:23|24:24|25:25|26:26|27:27|28:28|29:29|30:30|31:31|32:32|33:33|34:34|35:35|36:36|37:37|38:38|39:39|40:40|41:41|42:42|43:43|44:44|45:45|46:46|47:47|48:48|49:49|50:50|51:51|52:52|53:53|54:54|55:55|56:56|57:57|58:58|59:59|60:60|61:61|62:62|63:63|64:64|65:65|66:66|67:67|68:68|69:69|70:70|71:71|72:72|73:73|74:74|75:75|76:76|77:77|78:78|79:79|80:80|81:81|82:82|83:83|84:84|85:85|86:86|87:87|88:88|89:89|90:90|91:91|92:92|93:93|94:94|95:95|96:96|97:97|98:98|99:99|100:100|101: More than £100</t>
  </si>
  <si>
    <t>Visited_other</t>
  </si>
  <si>
    <t>Delivery_awareness</t>
  </si>
  <si>
    <t>Delivery_consideration</t>
  </si>
  <si>
    <t>Delivery_usage</t>
  </si>
  <si>
    <t>Takeaway_awareness</t>
  </si>
  <si>
    <t>Takeaway_consideration</t>
  </si>
  <si>
    <t>Takeaway_usage</t>
  </si>
  <si>
    <t>scaleFactor</t>
  </si>
  <si>
    <t>preScaleLowPassFilterValue</t>
  </si>
  <si>
    <t>subset</t>
  </si>
  <si>
    <t>question</t>
  </si>
  <si>
    <t>lookupSheet</t>
  </si>
  <si>
    <t>lookupType</t>
  </si>
  <si>
    <t>Gender</t>
  </si>
  <si>
    <t>Category</t>
  </si>
  <si>
    <t>0:Female|1:Male</t>
  </si>
  <si>
    <t>Are you male or female?</t>
  </si>
  <si>
    <t>16-24:16-24|25-34:25-34|35-49:35-49|50-59:50-59|60-74:60-74</t>
  </si>
  <si>
    <t>UK</t>
  </si>
  <si>
    <t>How old are you?</t>
  </si>
  <si>
    <t>Regions</t>
  </si>
  <si>
    <t>Region</t>
  </si>
  <si>
    <t>1-2:NI &amp; Scotland|3-5:North|6-8:Midlands|9-11:South|12:London</t>
  </si>
  <si>
    <t>Where do you live?</t>
  </si>
  <si>
    <t>SEG1</t>
  </si>
  <si>
    <t>1-2:AB|3:C1|4,8:C2|5-7:DE|9:Retired</t>
  </si>
  <si>
    <t>SEG2</t>
  </si>
  <si>
    <t>1-2:AB|3:C1|4,8:C2|5-7:DE</t>
  </si>
  <si>
    <t>COMPROUTE</t>
  </si>
  <si>
    <t>Text</t>
  </si>
  <si>
    <t>1:Affinity|2:Advantage</t>
  </si>
  <si>
    <t>SPONTANEOUSROUTE</t>
  </si>
  <si>
    <t>Spontaneous_base</t>
  </si>
  <si>
    <t>1:Restaurant|2:FastCasual|3:Pub|4:Cafe|5:Delivery</t>
  </si>
  <si>
    <t>Household_composition</t>
  </si>
  <si>
    <t>1:No|2:Yes, they are ALL under 10 years old|3:Yes, they are ALL between 10 and 18 years old|4:Yes, there are children under 10 years old AND children between 10 and 18 years old</t>
  </si>
  <si>
    <t>Do you have any &lt;h&gt;children under 18&lt;/h&gt; living in your household?</t>
  </si>
  <si>
    <t>Family_type_15_100</t>
  </si>
  <si>
    <t>Family_type_39_100</t>
  </si>
  <si>
    <t>Family_type_0_40</t>
  </si>
  <si>
    <t>16-24:16-24|25-39:25-39|40-54:40-54|55-74:55-74</t>
  </si>
  <si>
    <t>US</t>
  </si>
  <si>
    <t>US_state</t>
  </si>
  <si>
    <t>2,3,5,6,12,13,27,29,32,38,45,48,51:West|1,4,8,9,10,11,18,19,21,25,34,37,41,43,44,47,49:South|14,15,16,17,23,24,26,28,35,36,42,50:Midwest|7,20,22,30,31,33,39,40,46:Northeast</t>
  </si>
  <si>
    <t>Household_Income</t>
  </si>
  <si>
    <t>0-749:Low|750-5000:High</t>
  </si>
  <si>
    <t>What is your household income?</t>
  </si>
  <si>
    <t>Food_attitudes</t>
  </si>
  <si>
    <t>Food_attitudes1</t>
  </si>
  <si>
    <t>1:Agree strongly|2:Agree slightly|3:Neither / nor|4:Disagree slightly|5:Disagree strongly</t>
  </si>
  <si>
    <t>Below are 6 statements that people have mentioned about the food and drinks they eat, both out of home and in home. _x000D_
&lt;inst&gt;Please select how much you personally agree or disagree with each statement&lt;/inst&gt;</t>
  </si>
  <si>
    <t>Food_attitudes2</t>
  </si>
  <si>
    <t>Food_attitudes3</t>
  </si>
  <si>
    <t>Food_attitudes4</t>
  </si>
  <si>
    <t>Food_attitudes5</t>
  </si>
  <si>
    <t>Food_attitudes6</t>
  </si>
  <si>
    <t>Food_attitudes7</t>
  </si>
  <si>
    <t>Food_attitudes8</t>
  </si>
  <si>
    <t>Food_attitudes9</t>
  </si>
  <si>
    <t>Food_attitudes10</t>
  </si>
  <si>
    <t>Food_attitudes11</t>
  </si>
  <si>
    <t>Food_attitudes12</t>
  </si>
  <si>
    <t>Food_attitudes13</t>
  </si>
  <si>
    <t>Food_attitudes14</t>
  </si>
  <si>
    <t>Food_attitudes15</t>
  </si>
  <si>
    <t>Food_attitudes16</t>
  </si>
  <si>
    <t>Food_attitudes17</t>
  </si>
  <si>
    <t>Food_attitudes18</t>
  </si>
  <si>
    <t>Food_attitudes19</t>
  </si>
  <si>
    <t>Food_attitudes20</t>
  </si>
  <si>
    <t>Restaurant_frequency</t>
  </si>
  <si>
    <t>Restaurant_frequency1</t>
  </si>
  <si>
    <t>Approximately how many times every MONTH &lt;h&gt;do you eat in restaurants&lt;/h&gt; at each of these times of day?_x000D_
&lt;inst&gt;Please move your mouse along the scale until it shows the right number in the box on the left and click.&lt;/inst&gt;</t>
  </si>
  <si>
    <t>Restaurant_frequency2</t>
  </si>
  <si>
    <t>Restaurant_frequency3</t>
  </si>
  <si>
    <t>Dietary_requirements</t>
  </si>
  <si>
    <t>Dietary_requirements_ None</t>
  </si>
  <si>
    <t>1:Yes|-99:No</t>
  </si>
  <si>
    <t>Dietary_requirements_ Vegetarian</t>
  </si>
  <si>
    <t>Dietary_requirements_ Vegan</t>
  </si>
  <si>
    <t>Dietary_requirements_ Lactose intolerance</t>
  </si>
  <si>
    <t>Dietary_requirements_ Gluten intolerant</t>
  </si>
  <si>
    <t>Dietary_requirements_ Halal</t>
  </si>
  <si>
    <t>Dietary_requirements_ Nut allergy</t>
  </si>
  <si>
    <t>Supermarkets</t>
  </si>
  <si>
    <t>1:Aldi|2:ASDA|3:Co-op|4:Lidl|5:Marks and Spencer|6:Morrisons|7:Sainsburys|8:Tesco|9:Waitrose|10:Iceland|11:Booths|12:Ocado|13:Other</t>
  </si>
  <si>
    <t>Yesterday_location_1</t>
  </si>
  <si>
    <t>Yesterday_location_Breakfast</t>
  </si>
  <si>
    <t>Yesterday_location_2</t>
  </si>
  <si>
    <t>Yesterday_location_Mid-morning</t>
  </si>
  <si>
    <t>Yesterday_location_3</t>
  </si>
  <si>
    <t>Yesterday_location_Lunch</t>
  </si>
  <si>
    <t>Yesterday_location_4</t>
  </si>
  <si>
    <t>Yesterday_location_Afternoon</t>
  </si>
  <si>
    <t>Yesterday_location_5</t>
  </si>
  <si>
    <t>Yesterday_location_Early evening</t>
  </si>
  <si>
    <t>Yesterday_location_6</t>
  </si>
  <si>
    <t>Yesterday_location_Evening</t>
  </si>
  <si>
    <t>Yesterday_channel_1</t>
  </si>
  <si>
    <t>Yesterday_channel_Breakfast</t>
  </si>
  <si>
    <t>Yesterday_channel_2</t>
  </si>
  <si>
    <t>Yesterday_channel_Mid-morning</t>
  </si>
  <si>
    <t>Yesterday_channel_3</t>
  </si>
  <si>
    <t>Yesterday_channel_Lunch</t>
  </si>
  <si>
    <t>Yesterday_channel_4</t>
  </si>
  <si>
    <t>Yesterday_channel_Afternoon</t>
  </si>
  <si>
    <t>Yesterday_channel_5</t>
  </si>
  <si>
    <t>Yesterday_channel_Early evening</t>
  </si>
  <si>
    <t>Yesterday_channel_6</t>
  </si>
  <si>
    <t>Yesterday_channel_Evening</t>
  </si>
  <si>
    <t>Yesterday_reason_1</t>
  </si>
  <si>
    <t>Yesterday_reason_Breakfast</t>
  </si>
  <si>
    <t>Yesterday_reason_2</t>
  </si>
  <si>
    <t>Yesterday_reason_Mid-morning</t>
  </si>
  <si>
    <t>Yesterday_reason_3</t>
  </si>
  <si>
    <t>Yesterday_reason_Lunch</t>
  </si>
  <si>
    <t>Yesterday_reason_4</t>
  </si>
  <si>
    <t>Yesterday_reason_Afternoon</t>
  </si>
  <si>
    <t>Yesterday_reason_5</t>
  </si>
  <si>
    <t>Yesterday_reason_Early evening</t>
  </si>
  <si>
    <t>Yesterday_reason_6</t>
  </si>
  <si>
    <t>Yesterday_reason_Evening</t>
  </si>
  <si>
    <t>Yesterday_weather_1</t>
  </si>
  <si>
    <t>Yesterday_weather_Breakfast_Sunny</t>
  </si>
  <si>
    <t>Sunny</t>
  </si>
  <si>
    <t>Yesterday_weather_Breakfast_Cloudy</t>
  </si>
  <si>
    <t>Cloudy</t>
  </si>
  <si>
    <t>Yesterday_weather_Breakfast_Rainy</t>
  </si>
  <si>
    <t>Rainy</t>
  </si>
  <si>
    <t>Yesterday_weather_Breakfast_Snowy</t>
  </si>
  <si>
    <t>Snowy</t>
  </si>
  <si>
    <t>Yesterday_weather_Breakfast_Cold</t>
  </si>
  <si>
    <t>Cold</t>
  </si>
  <si>
    <t>Yesterday_weather_Breakfast_Warm</t>
  </si>
  <si>
    <t>Warm</t>
  </si>
  <si>
    <t>Yesterday_weather_Breakfast_Hot</t>
  </si>
  <si>
    <t>Hot</t>
  </si>
  <si>
    <t>Yesterday_weather_Breakfast_Still</t>
  </si>
  <si>
    <t>Still</t>
  </si>
  <si>
    <t>Yesterday_weather_Breakfast_Windy</t>
  </si>
  <si>
    <t>Windy</t>
  </si>
  <si>
    <t>Yesterday_weather_2</t>
  </si>
  <si>
    <t>Yesterday_weather_Mid-morning_Sunny</t>
  </si>
  <si>
    <t>Yesterday_weather_Mid-morning_Cloudy</t>
  </si>
  <si>
    <t>Yesterday_weather_Mid-morning_Rainy</t>
  </si>
  <si>
    <t>Yesterday_weather_Mid-morning_Snowy</t>
  </si>
  <si>
    <t>Yesterday_weather_Mid-morning_Cold</t>
  </si>
  <si>
    <t>Yesterday_weather_Mid-morning_Warm</t>
  </si>
  <si>
    <t>Yesterday_weather_Mid-morning_Hot</t>
  </si>
  <si>
    <t>Yesterday_weather_Mid-morning_Still</t>
  </si>
  <si>
    <t>Yesterday_weather_Mid-morning_Windy</t>
  </si>
  <si>
    <t>Yesterday_weather_3</t>
  </si>
  <si>
    <t>Yesterday_weather_Lunch_Sunny</t>
  </si>
  <si>
    <t>Yesterday_weather_Lunch_Cloudy</t>
  </si>
  <si>
    <t>Yesterday_weather_Lunch_Rainy</t>
  </si>
  <si>
    <t>Yesterday_weather_Lunch_Snowy</t>
  </si>
  <si>
    <t>Yesterday_weather_Lunch_Cold</t>
  </si>
  <si>
    <t>Yesterday_weather_Lunch_Warm</t>
  </si>
  <si>
    <t>Yesterday_weather_Lunch_Hot</t>
  </si>
  <si>
    <t>Yesterday_weather_Lunch_Still</t>
  </si>
  <si>
    <t>Yesterday_weather_Lunch_Windy</t>
  </si>
  <si>
    <t>Yesterday_weather_4</t>
  </si>
  <si>
    <t>Yesterday_weather_Afternoon_Sunny</t>
  </si>
  <si>
    <t>Yesterday_weather_Afternoon_Cloudy</t>
  </si>
  <si>
    <t>Yesterday_weather_Afternoon_Rainy</t>
  </si>
  <si>
    <t>Yesterday_weather_Afternoon_Snowy</t>
  </si>
  <si>
    <t>Yesterday_weather_Afternoon_Cold</t>
  </si>
  <si>
    <t>Yesterday_weather_Afternoon_Warm</t>
  </si>
  <si>
    <t>Yesterday_weather_Afternoon_Hot</t>
  </si>
  <si>
    <t>Yesterday_weather_Afternoon_Still</t>
  </si>
  <si>
    <t>Yesterday_weather_Afternoon_Windy</t>
  </si>
  <si>
    <t>Yesterday_weather_5</t>
  </si>
  <si>
    <t>Yesterday_weather_Early evening_Sunny</t>
  </si>
  <si>
    <t>Yesterday_weather_Early evening_Cloudy</t>
  </si>
  <si>
    <t>Yesterday_weather_Early evening_Rainy</t>
  </si>
  <si>
    <t>Yesterday_weather_Early evening_Snowy</t>
  </si>
  <si>
    <t>Yesterday_weather_Early evening_Cold</t>
  </si>
  <si>
    <t>Yesterday_weather_Early evening_Warm</t>
  </si>
  <si>
    <t>Yesterday_weather_Early evening_Hot</t>
  </si>
  <si>
    <t>Yesterday_weather_Early evening_Still</t>
  </si>
  <si>
    <t>Yesterday_weather_Early evening_Windy</t>
  </si>
  <si>
    <t>Yesterday_weather_6</t>
  </si>
  <si>
    <t>Yesterday_weather_Evening_Sunny</t>
  </si>
  <si>
    <t>Yesterday_weather_Evening_Cloudy</t>
  </si>
  <si>
    <t>Yesterday_weather_Evening_Rainy</t>
  </si>
  <si>
    <t>Yesterday_weather_Evening_Snowy</t>
  </si>
  <si>
    <t>Yesterday_weather_Evening_Cold</t>
  </si>
  <si>
    <t>Yesterday_weather_Evening_Warm</t>
  </si>
  <si>
    <t>Yesterday_weather_Evening_Hot</t>
  </si>
  <si>
    <t>Yesterday_weather_Evening_Still</t>
  </si>
  <si>
    <t>Yesterday_weather_Evening_Windy</t>
  </si>
  <si>
    <t>Yesterday_drinks_1</t>
  </si>
  <si>
    <t>Yesterday_drinks_Breakfast_Coffee</t>
  </si>
  <si>
    <t>Yesterday_drinks_Breakfast_Tea</t>
  </si>
  <si>
    <t>Yesterday_drinks_Breakfast_Hot chocolate</t>
  </si>
  <si>
    <t>Yesterday_drinks_Breakfast_Bottled water</t>
  </si>
  <si>
    <t>Yesterday_drinks_Breakfast_Fruit juice / smoothie</t>
  </si>
  <si>
    <t>Yesterday_drinks_Breakfast_Carbonated soft drink</t>
  </si>
  <si>
    <t>Yesterday_drinks_Breakfast_Juice drink / flavoured water</t>
  </si>
  <si>
    <t>Yesterday_drinks_Breakfast_Milkshake / milk drink</t>
  </si>
  <si>
    <t>Yesterday_drinks_Breakfast_Tap water</t>
  </si>
  <si>
    <t>Yesterday_drinks_Breakfast_Beer / lager</t>
  </si>
  <si>
    <t>Yesterday_drinks_Breakfast_Cider</t>
  </si>
  <si>
    <t>Yesterday_drinks_Breakfast_Cocktail / spirit</t>
  </si>
  <si>
    <t>Yesterday_drinks_Breakfast_Wine / sparkling wine</t>
  </si>
  <si>
    <t>Yesterday_drinks_Breakfast_Other</t>
  </si>
  <si>
    <t>Other</t>
  </si>
  <si>
    <t>Yesterday_drinks_Breakfast_I didn't have anything to drink</t>
  </si>
  <si>
    <t>I didn't have anything to drink</t>
  </si>
  <si>
    <t>Yesterday_drinks_2</t>
  </si>
  <si>
    <t>Yesterday_drinks_Mid-morning_Coffee</t>
  </si>
  <si>
    <t>Yesterday_drinks_Mid-morning_Tea</t>
  </si>
  <si>
    <t>Yesterday_drinks_Mid-morning_Hot chocolate</t>
  </si>
  <si>
    <t>Yesterday_drinks_Mid-morning_Bottled water</t>
  </si>
  <si>
    <t>Yesterday_drinks_Mid-morning_Fruit juice / smoothie</t>
  </si>
  <si>
    <t>Yesterday_drinks_Mid-morning_Carbonated soft drink</t>
  </si>
  <si>
    <t>Yesterday_drinks_Mid-morning_Juice drink / flavoured water</t>
  </si>
  <si>
    <t>Yesterday_drinks_Mid-morning_Milkshake / milk drink</t>
  </si>
  <si>
    <t>Yesterday_drinks_Mid-morning_Tap water</t>
  </si>
  <si>
    <t>Yesterday_drinks_Mid-morning_Beer / lager</t>
  </si>
  <si>
    <t>Yesterday_drinks_Mid-morning_Cider</t>
  </si>
  <si>
    <t>Yesterday_drinks_Mid-morning_Cocktail / spirit</t>
  </si>
  <si>
    <t>Yesterday_drinks_Mid-morning_Wine / sparkling wine</t>
  </si>
  <si>
    <t>Yesterday_drinks_Mid-morning_Other</t>
  </si>
  <si>
    <t>Yesterday_drinks_Mid-morning_I didn't have anything to drink</t>
  </si>
  <si>
    <t>Yesterday_drinks_3</t>
  </si>
  <si>
    <t>Yesterday_drinks_Lunch_Coffee</t>
  </si>
  <si>
    <t>Yesterday_drinks_Lunch_Tea</t>
  </si>
  <si>
    <t>Yesterday_drinks_Lunch_Hot chocolate</t>
  </si>
  <si>
    <t>Yesterday_drinks_Lunch_Bottled water</t>
  </si>
  <si>
    <t>Yesterday_drinks_Lunch_Fruit juice / smoothie</t>
  </si>
  <si>
    <t>Yesterday_drinks_Lunch_Carbonated soft drink</t>
  </si>
  <si>
    <t>Yesterday_drinks_Lunch_Juice drink / flavoured water</t>
  </si>
  <si>
    <t>Yesterday_drinks_Lunch_Milkshake / milk drink</t>
  </si>
  <si>
    <t>Yesterday_drinks_Lunch_Tap water</t>
  </si>
  <si>
    <t>Yesterday_drinks_Lunch_Beer / lager</t>
  </si>
  <si>
    <t>Yesterday_drinks_Lunch_Cider</t>
  </si>
  <si>
    <t>Yesterday_drinks_Lunch_Cocktail / spirit</t>
  </si>
  <si>
    <t>Yesterday_drinks_Lunch_Wine / sparkling wine</t>
  </si>
  <si>
    <t>Yesterday_drinks_Lunch_Other</t>
  </si>
  <si>
    <t>Yesterday_drinks_Lunch_I didn't have anything to drink</t>
  </si>
  <si>
    <t>Yesterday_drinks_4</t>
  </si>
  <si>
    <t>Yesterday_drinks_Afternoon_Coffee</t>
  </si>
  <si>
    <t>Yesterday_drinks_Afternoon_Tea</t>
  </si>
  <si>
    <t>Yesterday_drinks_Afternoon_Hot chocolate</t>
  </si>
  <si>
    <t>Yesterday_drinks_Afternoon_Bottled water</t>
  </si>
  <si>
    <t>Yesterday_drinks_Afternoon_Fruit juice / smoothie</t>
  </si>
  <si>
    <t>Yesterday_drinks_Afternoon_Carbonated soft drink</t>
  </si>
  <si>
    <t>Yesterday_drinks_Afternoon_Juice drink / flavoured water</t>
  </si>
  <si>
    <t>Yesterday_drinks_Afternoon_Milkshake / milk drink</t>
  </si>
  <si>
    <t>Yesterday_drinks_Afternoon_Tap water</t>
  </si>
  <si>
    <t>Yesterday_drinks_Afternoon_Beer / lager</t>
  </si>
  <si>
    <t>Yesterday_drinks_Afternoon_Cider</t>
  </si>
  <si>
    <t>Yesterday_drinks_Afternoon_Cocktail / spirit</t>
  </si>
  <si>
    <t>Yesterday_drinks_Afternoon_Wine / sparkling wine</t>
  </si>
  <si>
    <t>Yesterday_drinks_Afternoon_Other</t>
  </si>
  <si>
    <t>Yesterday_drinks_Afternoon_I didn't have anything to drink</t>
  </si>
  <si>
    <t>Yesterday_drinks_5</t>
  </si>
  <si>
    <t>Yesterday_drinks_Early evening_Coffee</t>
  </si>
  <si>
    <t>Yesterday_drinks_Early evening_Tea</t>
  </si>
  <si>
    <t>Yesterday_drinks_Early evening_Hot chocolate</t>
  </si>
  <si>
    <t>Yesterday_drinks_Early evening_Bottled water</t>
  </si>
  <si>
    <t>Yesterday_drinks_Early evening_Fruit juice / smoothie</t>
  </si>
  <si>
    <t>Yesterday_drinks_Early evening_Carbonated soft drink</t>
  </si>
  <si>
    <t>Yesterday_drinks_Early evening_Juice drink / flavoured water</t>
  </si>
  <si>
    <t>Yesterday_drinks_Early evening_Milkshake / milk drink</t>
  </si>
  <si>
    <t>Yesterday_drinks_Early evening_Tap water</t>
  </si>
  <si>
    <t>Yesterday_drinks_Early evening_Beer / lager</t>
  </si>
  <si>
    <t>Yesterday_drinks_Early evening_Cider</t>
  </si>
  <si>
    <t>Yesterday_drinks_Early evening_Cocktail / spirit</t>
  </si>
  <si>
    <t>Yesterday_drinks_Early evening_Wine / sparkling wine</t>
  </si>
  <si>
    <t>Yesterday_drinks_Early evening_Other</t>
  </si>
  <si>
    <t>Yesterday_drinks_Early evening_I didn't have anything to drink</t>
  </si>
  <si>
    <t>Yesterday_drinks_6</t>
  </si>
  <si>
    <t>Yesterday_drinks_Evening_Coffee</t>
  </si>
  <si>
    <t>Yesterday_drinks_Evening_Tea</t>
  </si>
  <si>
    <t>Yesterday_drinks_Evening_Hot chocolate</t>
  </si>
  <si>
    <t>Yesterday_drinks_Evening_Bottled water</t>
  </si>
  <si>
    <t>Yesterday_drinks_Evening_Fruit juice / smoothie</t>
  </si>
  <si>
    <t>Yesterday_drinks_Evening_Carbonated soft drink</t>
  </si>
  <si>
    <t>Yesterday_drinks_Evening_Juice drink / flavoured water</t>
  </si>
  <si>
    <t>Yesterday_drinks_Evening_Milkshake / milk drink</t>
  </si>
  <si>
    <t>Yesterday_drinks_Evening_Tap water</t>
  </si>
  <si>
    <t>Yesterday_drinks_Evening_Beer / lager</t>
  </si>
  <si>
    <t>Yesterday_drinks_Evening_Cider</t>
  </si>
  <si>
    <t>Yesterday_drinks_Evening_Cocktail / spirit</t>
  </si>
  <si>
    <t>Yesterday_drinks_Evening_Wine / sparkling wine</t>
  </si>
  <si>
    <t>Yesterday_drinks_Evening_Other</t>
  </si>
  <si>
    <t>Yesterday_drinks_Evening_I didn't have anything to drink</t>
  </si>
  <si>
    <t>Yesterday_food_1</t>
  </si>
  <si>
    <t>Yesterday_food_Breakfast_Starter</t>
  </si>
  <si>
    <t>Yesterday_food_Breakfast_Main</t>
  </si>
  <si>
    <t>Yesterday_food_Breakfast_Side dish</t>
  </si>
  <si>
    <t>Yesterday_food_Breakfast_Dessert</t>
  </si>
  <si>
    <t>Yesterday_food_Breakfast_Light bite (savoury)</t>
  </si>
  <si>
    <t>Yesterday_food_Breakfast_Light bite (sweet)</t>
  </si>
  <si>
    <t>Yesterday_food_Breakfast_I didn't buy any food</t>
  </si>
  <si>
    <t>I didn't buy any food</t>
  </si>
  <si>
    <t>Yesterday_food_2</t>
  </si>
  <si>
    <t>Yesterday_food_Mid-morning_Starter</t>
  </si>
  <si>
    <t>Yesterday_food_Mid-morning_Main</t>
  </si>
  <si>
    <t>Yesterday_food_Mid-morning_Side dish</t>
  </si>
  <si>
    <t>Yesterday_food_Mid-morning_Dessert</t>
  </si>
  <si>
    <t>Yesterday_food_Mid-morning_Light bite (savoury)</t>
  </si>
  <si>
    <t>Yesterday_food_Mid-morning_Light bite (sweet)</t>
  </si>
  <si>
    <t>Yesterday_food_Mid-morning_I didn't buy any food</t>
  </si>
  <si>
    <t>Yesterday_food_3</t>
  </si>
  <si>
    <t>Yesterday_food_Lunch_Starter</t>
  </si>
  <si>
    <t>Yesterday_food_Lunch_Main</t>
  </si>
  <si>
    <t>Yesterday_food_Lunch_Side dish</t>
  </si>
  <si>
    <t>Yesterday_food_Lunch_Dessert</t>
  </si>
  <si>
    <t>Yesterday_food_Lunch_Light bite (savoury)</t>
  </si>
  <si>
    <t>Yesterday_food_Lunch_Light bite (sweet)</t>
  </si>
  <si>
    <t>Yesterday_food_Lunch_I didn't buy any food</t>
  </si>
  <si>
    <t>Yesterday_food_4</t>
  </si>
  <si>
    <t>Yesterday_food_Afternoon_Starter</t>
  </si>
  <si>
    <t>Yesterday_food_Afternoon_Main</t>
  </si>
  <si>
    <t>Yesterday_food_Afternoon_Side dish</t>
  </si>
  <si>
    <t>Yesterday_food_Afternoon_Dessert</t>
  </si>
  <si>
    <t>Yesterday_food_Afternoon_Light bite (savoury)</t>
  </si>
  <si>
    <t>Yesterday_food_Afternoon_Light bite (sweet)</t>
  </si>
  <si>
    <t>Yesterday_food_Afternoon_I didn't buy any food</t>
  </si>
  <si>
    <t>Yesterday_food_5</t>
  </si>
  <si>
    <t>Yesterday_food_Early evening_Starter</t>
  </si>
  <si>
    <t>Yesterday_food_Early evening_Main</t>
  </si>
  <si>
    <t>Yesterday_food_Early evening_Side dish</t>
  </si>
  <si>
    <t>Yesterday_food_Early evening_Dessert</t>
  </si>
  <si>
    <t>Yesterday_food_Early evening_Light bite (savoury)</t>
  </si>
  <si>
    <t>Yesterday_food_Early evening_Light bite (sweet)</t>
  </si>
  <si>
    <t>Yesterday_food_Early evening_I didn't buy any food</t>
  </si>
  <si>
    <t>Yesterday_food_6</t>
  </si>
  <si>
    <t>Yesterday_food_Evening_Starter</t>
  </si>
  <si>
    <t>Yesterday_food_Evening_Main</t>
  </si>
  <si>
    <t>Yesterday_food_Evening_Side dish</t>
  </si>
  <si>
    <t>Yesterday_food_Evening_Dessert</t>
  </si>
  <si>
    <t>Yesterday_food_Evening_Light bite (savoury)</t>
  </si>
  <si>
    <t>Yesterday_food_Evening_Light bite (sweet)</t>
  </si>
  <si>
    <t>Yesterday_food_Evening_I didn't buy any food</t>
  </si>
  <si>
    <t>Yesterday_spend_1</t>
  </si>
  <si>
    <t>Yesterday_spend_Breakfast</t>
  </si>
  <si>
    <t>0:I didn't pay|1:£1|2:£2|3:£3|4:£4|5:£5|6:£6|7:£7|8:£8|9:£9|10:£10|11:£11|12:£12|13:£13|14:£14|15:£15|16:£16|17:£17|18:£18|19:£19|20:£20|21:£21|22:£22|23:£23|24:£24|25:£25|26:£26|27:£27|28:£28|29:£29|30:£30|31:£31|32:£32|33:£33|34:£34|35:£35|36:£36|37:£37|38:£38|39:£39|40:£40|41:£41|42:£42|43:£43|44:£44|45:£45|46:£46|47:£47|48:£48|49:£49|50:£50|51:£51|52:£52|53:£53|54:£54|55:£55|56:£56|57:£57|58:£58|59:£59|60:£60|61:£61|62:£62|63:£63|64:£64|65:£65|66:£66|67:£67|68:£68|69:£69|70:£70|71:£71|72:£72|73:£73|74:£74|75:£75|76:£76|77:£77|78:£78|79:£79|80:£80|81:£81|82:£82|83:£83|84:£84|85:£85|86:£86|87:£87|88:£88|89:£89|90:£90|91:£91|92:£92|93:£93|94:£94|95:£95|96:£96|97:£97|98:£98|99:£99|100:£100|101:More than £100</t>
  </si>
  <si>
    <t>Yesterday_spend_2</t>
  </si>
  <si>
    <t>Yesterday_spend_Mid-morning</t>
  </si>
  <si>
    <t>Yesterday_spend_3</t>
  </si>
  <si>
    <t>Yesterday_spend_Lunch</t>
  </si>
  <si>
    <t>Yesterday_spend_4</t>
  </si>
  <si>
    <t>Yesterday_spend_Afternoon</t>
  </si>
  <si>
    <t>Yesterday_spend_5</t>
  </si>
  <si>
    <t>Yesterday_spend_Early evening</t>
  </si>
  <si>
    <t>Yesterday_spend_6</t>
  </si>
  <si>
    <t>Yesterday_spend_Evening</t>
  </si>
  <si>
    <t>TV_platforms</t>
  </si>
  <si>
    <t>TV_platforms_All 4 (Channel 4's on demand service)</t>
  </si>
  <si>
    <t>Which of the following TV platforms have you used in the &lt;u&gt;last two weeks&lt;/u&gt; on any device e.g. TV, mobile, tablet, computer?</t>
  </si>
  <si>
    <t>TV_platforms_Amazon Prime Video</t>
  </si>
  <si>
    <t>TV_platforms_BBC iPlayer</t>
  </si>
  <si>
    <t>TV_platforms_ITV Hub</t>
  </si>
  <si>
    <t>TV_platforms_My5 (Channel 5's on demand services)</t>
  </si>
  <si>
    <t>TV_platforms_Netflix</t>
  </si>
  <si>
    <t>TV_platforms_Now Tv</t>
  </si>
  <si>
    <t>TV_platforms_Sky / Sky Go</t>
  </si>
  <si>
    <t>TV_platforms_Virgin Media</t>
  </si>
  <si>
    <t>TV_platforms_YouTube</t>
  </si>
  <si>
    <t>TV_platforms_Other</t>
  </si>
  <si>
    <t>TV_platforms_None of these</t>
  </si>
  <si>
    <t>TV_channels</t>
  </si>
  <si>
    <t>TV_channels_BBC 1</t>
  </si>
  <si>
    <t>Which of the following TV channels have you watched in the last two weeks?</t>
  </si>
  <si>
    <t>TV_channels_BBC 2</t>
  </si>
  <si>
    <t>TV_channels_ITV</t>
  </si>
  <si>
    <t>TV_channels_Channel 4</t>
  </si>
  <si>
    <t>TV_channels_Channel 5</t>
  </si>
  <si>
    <t>TV_channels_Sky 1 / Sky 2 / Sky Atlantic / Sky Witness</t>
  </si>
  <si>
    <t>TV_channels_5 Star / 5 USA / 5 Spike</t>
  </si>
  <si>
    <t>TV_channels_alibi</t>
  </si>
  <si>
    <t>TV_channels_BBC 4</t>
  </si>
  <si>
    <t>TV_channels_BBC News</t>
  </si>
  <si>
    <t>TV_channels_BT Sport</t>
  </si>
  <si>
    <t>TV_channels_Cbeebies / CBBC</t>
  </si>
  <si>
    <t>TV_channels_CBS Reality / CBS Justice / CBS Drama</t>
  </si>
  <si>
    <t>TV_channels_Challenge</t>
  </si>
  <si>
    <t>TV_channels_Comedy Central</t>
  </si>
  <si>
    <t>TV_channels_Dave</t>
  </si>
  <si>
    <t>TV_channels_Drama</t>
  </si>
  <si>
    <t>TV_channels_E4</t>
  </si>
  <si>
    <t>TV_channels_eden</t>
  </si>
  <si>
    <t>TV_channels_Film4</t>
  </si>
  <si>
    <t>TV_channels_G.O.L.D.</t>
  </si>
  <si>
    <t>TV_channels_Home</t>
  </si>
  <si>
    <t>TV_channels_ITV 2</t>
  </si>
  <si>
    <t>TV_channels_ITV 3</t>
  </si>
  <si>
    <t>TV_channels_ITV 4</t>
  </si>
  <si>
    <t>TV_channels_ITV Be</t>
  </si>
  <si>
    <t>TV_channels_More4</t>
  </si>
  <si>
    <t>TV_channels_Pick TV</t>
  </si>
  <si>
    <t>TV_channels_Quest</t>
  </si>
  <si>
    <t>TV_channels_Really</t>
  </si>
  <si>
    <t>TV_channels_Sky Sports</t>
  </si>
  <si>
    <t>TV_channels_Sky News / Sky Sports News</t>
  </si>
  <si>
    <t>TV_channels_W</t>
  </si>
  <si>
    <t>TV_channels_Yesterday</t>
  </si>
  <si>
    <t>TV_channels_None of these in the last two weeks</t>
  </si>
  <si>
    <t>Program_genres</t>
  </si>
  <si>
    <t>Program_genres_Business</t>
  </si>
  <si>
    <t>Which of the following types of TV programs do you typically watch? NOTE: This includes TV / video watched on your TV, mobile, tablet and computing</t>
  </si>
  <si>
    <t>Program_genres_Chat shows</t>
  </si>
  <si>
    <t>Program_genres_Children's TV</t>
  </si>
  <si>
    <t>Program_genres_Comedy panel shows</t>
  </si>
  <si>
    <t>Program_genres_Comedy series / sitcoms</t>
  </si>
  <si>
    <t>Program_genres_Cooking</t>
  </si>
  <si>
    <t>Program_genres_Documentaries (e.g. wildlife, history, travel, biographies)</t>
  </si>
  <si>
    <t>Program_genres_Drama series / one-off</t>
  </si>
  <si>
    <t>Program_genres_Films</t>
  </si>
  <si>
    <t>Program_genres_Gameshows / quizzes</t>
  </si>
  <si>
    <t>Program_genres_Music</t>
  </si>
  <si>
    <t>Program_genres_News / weather</t>
  </si>
  <si>
    <t>Program_genres_Property, home and gardening</t>
  </si>
  <si>
    <t>Program_genres_Reality TV</t>
  </si>
  <si>
    <t>Program_genres_Soaps</t>
  </si>
  <si>
    <t>Program_genres_Sport</t>
  </si>
  <si>
    <t>Program_genres_Talent competitions (e.g. singing, dancing, cooking)</t>
  </si>
  <si>
    <t>Program_genres_Other</t>
  </si>
  <si>
    <t>Program_genres_None of these</t>
  </si>
  <si>
    <t>News_sources</t>
  </si>
  <si>
    <t>News_sources_BBC News</t>
  </si>
  <si>
    <t>Which of the following sources of news have you read in the last two weeks? NOTE: This includes both physical copies and online versions</t>
  </si>
  <si>
    <t>News_sources_Channel 4 News</t>
  </si>
  <si>
    <t>News_sources_Daily Express / Sunday Express</t>
  </si>
  <si>
    <t>News_sources_Daily Mail / Mail on Sunday</t>
  </si>
  <si>
    <t>News_sources_Daily Mirror / Sunday Mirror</t>
  </si>
  <si>
    <t>News_sources_Daily Record</t>
  </si>
  <si>
    <t>News_sources_Daily Star</t>
  </si>
  <si>
    <t>News_sources_Evening Standard</t>
  </si>
  <si>
    <t>News_sources_Financial Times</t>
  </si>
  <si>
    <t>News_sources_Guardian / The Observer</t>
  </si>
  <si>
    <t>News_sources_Huffington Post</t>
  </si>
  <si>
    <t>News_sources_i News</t>
  </si>
  <si>
    <t>News_sources_Independent</t>
  </si>
  <si>
    <t>News_sources_Local News papers</t>
  </si>
  <si>
    <t>News_sources_Metro</t>
  </si>
  <si>
    <t>News_sources_Sky News</t>
  </si>
  <si>
    <t>News_sources_Telegraph / Sunday Telegraph</t>
  </si>
  <si>
    <t>News_sources_The Sun / The Sun on Sunday</t>
  </si>
  <si>
    <t>News_sources_The Times / The Sunday Times</t>
  </si>
  <si>
    <t>News_sources_Other</t>
  </si>
  <si>
    <t>News_sources_None in the last two weeks</t>
  </si>
  <si>
    <t>Magazine_genre</t>
  </si>
  <si>
    <t>Magazine_genre_Business and Economics</t>
  </si>
  <si>
    <t>Have you read any of the follow types of content in on magazines / websites in the last two weeks?</t>
  </si>
  <si>
    <t>Magazine_genre_Cars / motorsport</t>
  </si>
  <si>
    <t>Magazine_genre_Celebrity Gossip</t>
  </si>
  <si>
    <t>Magazine_genre_Cooking / food</t>
  </si>
  <si>
    <t>Magazine_genre_Fashion &amp; style</t>
  </si>
  <si>
    <t>Magazine_genre_Health, Diet and Fitness</t>
  </si>
  <si>
    <t>Magazine_genre_Home Interior or gardening</t>
  </si>
  <si>
    <t>Magazine_genre_News and politics</t>
  </si>
  <si>
    <t>Magazine_genre_Personal finances</t>
  </si>
  <si>
    <t>Magazine_genre_Sports</t>
  </si>
  <si>
    <t>Magazine_genre_Technology</t>
  </si>
  <si>
    <t>Magazine_genre_TV Guides</t>
  </si>
  <si>
    <t>Magazine_genre_Other</t>
  </si>
  <si>
    <t>Magazine_genre_None of these in the last two weeks</t>
  </si>
  <si>
    <t>Radio_stations</t>
  </si>
  <si>
    <t>Radio_stations_BBC Radio 1</t>
  </si>
  <si>
    <t>Which of the following radio stations / podcasts have you listened to in the last two weeks? NOTE: This includes radio listened to across any device (e.g. radio, car radio, mobile, computer)</t>
  </si>
  <si>
    <t>Radio_stations_BBC Radio 2</t>
  </si>
  <si>
    <t>Radio_stations_BBC Radio 3</t>
  </si>
  <si>
    <t>Radio_stations_BBC Radio 4</t>
  </si>
  <si>
    <t>Radio_stations_BBC Radio 5 Live</t>
  </si>
  <si>
    <t>Radio_stations_BBC 6 Music</t>
  </si>
  <si>
    <t>Radio_stations_BBC Local radio</t>
  </si>
  <si>
    <t>Radio_stations_Absolute Radio</t>
  </si>
  <si>
    <t>Radio_stations_Capital</t>
  </si>
  <si>
    <t>Radio_stations_Classic FM</t>
  </si>
  <si>
    <t>Radio_stations_Heart</t>
  </si>
  <si>
    <t>Radio_stations_Jazz FM</t>
  </si>
  <si>
    <t>Radio_stations_Kerrang!</t>
  </si>
  <si>
    <t>Radio_stations_Kiss</t>
  </si>
  <si>
    <t>Radio_stations_LBC 97.3</t>
  </si>
  <si>
    <t>Radio_stations_Magic</t>
  </si>
  <si>
    <t>Radio_stations_Planet Rock</t>
  </si>
  <si>
    <t>Radio_stations_Smooth</t>
  </si>
  <si>
    <t>Radio_stations_talkSPORT</t>
  </si>
  <si>
    <t>Radio_stations_Other national commerical radio stations</t>
  </si>
  <si>
    <t>Radio_stations_Local commercial radio (with adverts)</t>
  </si>
  <si>
    <t>Radio_stations_Podcasts</t>
  </si>
  <si>
    <t>Radio_stations_None of these in the last two weeks</t>
  </si>
  <si>
    <t>Sports</t>
  </si>
  <si>
    <t>Category2</t>
  </si>
  <si>
    <t>Sports_Football</t>
  </si>
  <si>
    <t>1:Don't really follow|2:Occasionally follow|3:Regularly follow</t>
  </si>
  <si>
    <t>Sports_Tennis</t>
  </si>
  <si>
    <t>Sports_Rugby Union</t>
  </si>
  <si>
    <t>Sports_Rugby League</t>
  </si>
  <si>
    <t>Sports_Athletics</t>
  </si>
  <si>
    <t>Sports_Golf</t>
  </si>
  <si>
    <t>Sports_Cricket</t>
  </si>
  <si>
    <t>Sports_Formula 1</t>
  </si>
  <si>
    <t>Sports_Boxing</t>
  </si>
  <si>
    <t>Sports_Cycling</t>
  </si>
  <si>
    <t>Sports_Motor sports other than Formula 1</t>
  </si>
  <si>
    <t>Hobbies</t>
  </si>
  <si>
    <t>Hobbies_Cinema / watching films</t>
  </si>
  <si>
    <t>Which of the following, if any, do you typically do in your spare time?</t>
  </si>
  <si>
    <t>Hobbies_Clubbing</t>
  </si>
  <si>
    <t>Hobbies_Computer games</t>
  </si>
  <si>
    <t>Hobbies_Cooking / baking</t>
  </si>
  <si>
    <t>Hobbies_Dancing</t>
  </si>
  <si>
    <t>Hobbies_Extreme sports</t>
  </si>
  <si>
    <t>Hobbies_Fashion</t>
  </si>
  <si>
    <t>Hobbies_Going to bars / pubs</t>
  </si>
  <si>
    <t>Hobbies_Going to the gym</t>
  </si>
  <si>
    <t>Hobbies_Hiking / walking</t>
  </si>
  <si>
    <t>Hobbies_Interior design</t>
  </si>
  <si>
    <t>Hobbies_Learning languages</t>
  </si>
  <si>
    <t>Hobbies_Listening to music</t>
  </si>
  <si>
    <t>Hobbies_Making / playing music</t>
  </si>
  <si>
    <t>Hobbies_Making crafts</t>
  </si>
  <si>
    <t>Hobbies_Music events / festivals</t>
  </si>
  <si>
    <t>Hobbies_Photography</t>
  </si>
  <si>
    <t>Hobbies_Playing sports</t>
  </si>
  <si>
    <t>Hobbies_Reading / audiobooks</t>
  </si>
  <si>
    <t>Hobbies_Shopping</t>
  </si>
  <si>
    <t>Hobbies_Theatre / musicals</t>
  </si>
  <si>
    <t>Hobbies_Travelling</t>
  </si>
  <si>
    <t>Hobbies_TV shows</t>
  </si>
  <si>
    <t>Hobbies_Watching sports</t>
  </si>
  <si>
    <t>Hobbies_Writing</t>
  </si>
  <si>
    <t>Hobbies_Yoga / pilates</t>
  </si>
  <si>
    <t>Hobbies_Other</t>
  </si>
  <si>
    <t>Hobbies_None of the above</t>
  </si>
  <si>
    <t>Cinema</t>
  </si>
  <si>
    <t>1:Yes|0:No</t>
  </si>
  <si>
    <t>Devices</t>
  </si>
  <si>
    <t>Devices_Smartphone</t>
  </si>
  <si>
    <t>Which of the following devices do you own?</t>
  </si>
  <si>
    <t>Devices_Tablet</t>
  </si>
  <si>
    <t>Devices_Laptop</t>
  </si>
  <si>
    <t>Devices_Desktop computer</t>
  </si>
  <si>
    <t>Devices_Smart watch</t>
  </si>
  <si>
    <t>Devices_Games console</t>
  </si>
  <si>
    <t>Devices_Portable gaming device (3DS, PSP)</t>
  </si>
  <si>
    <t>Devices_EBook Reader</t>
  </si>
  <si>
    <t>Devices_Mobile (non-smartphone)</t>
  </si>
  <si>
    <t>Devices_VR headset</t>
  </si>
  <si>
    <t>Devices_None of the above</t>
  </si>
  <si>
    <t>Apps</t>
  </si>
  <si>
    <t>Apps_Amazon Music</t>
  </si>
  <si>
    <t>Which, if any, of the following online services have you used in the &lt;u&gt;last two weeks&lt;/u&gt;?</t>
  </si>
  <si>
    <t>Apps_Apple Music</t>
  </si>
  <si>
    <t>Apps_Bumble</t>
  </si>
  <si>
    <t>Apps_Candy Crush</t>
  </si>
  <si>
    <t>Apps_Citymapper</t>
  </si>
  <si>
    <t>Apps_Google Plus</t>
  </si>
  <si>
    <t>Apps_Reddit</t>
  </si>
  <si>
    <t>Apps_Skype</t>
  </si>
  <si>
    <t>Apps_Soundcloud</t>
  </si>
  <si>
    <t>Apps_Spotify</t>
  </si>
  <si>
    <t>Apps_TikTok</t>
  </si>
  <si>
    <t>Apps_Tinder</t>
  </si>
  <si>
    <t>Apps_Tumblr</t>
  </si>
  <si>
    <t>Apps_Uber</t>
  </si>
  <si>
    <t>Apps_None of these</t>
  </si>
  <si>
    <t>CDM_radio</t>
  </si>
  <si>
    <t>Coco_di_mama</t>
  </si>
  <si>
    <t>1:An Italian restaurant - with waiters and table service|2:A coffee / cake shop - with counter service|3:A grab and go Italian inspired food and drink cafe - with counter service|4:A French restaurant - with waiters and table service|5:Something else|6:Don’t know</t>
  </si>
  <si>
    <t>CHANROUTE</t>
  </si>
  <si>
    <t>1:Delivery|2:Takeaway</t>
  </si>
  <si>
    <t>Postcode</t>
  </si>
  <si>
    <t>Lookup</t>
  </si>
  <si>
    <t>PostcodeLookup</t>
  </si>
  <si>
    <t>StartsWith</t>
  </si>
  <si>
    <t>id</t>
  </si>
  <si>
    <t>displayName</t>
  </si>
  <si>
    <t>displayNameShort</t>
  </si>
  <si>
    <t>iso2LetterCountryCode</t>
  </si>
  <si>
    <t>description</t>
  </si>
  <si>
    <t>order</t>
  </si>
  <si>
    <t>disabled</t>
  </si>
  <si>
    <t>environment</t>
  </si>
  <si>
    <t>externalUrl</t>
  </si>
  <si>
    <t>alias</t>
  </si>
  <si>
    <t>GB</t>
  </si>
  <si>
    <t>Consumer_Segment</t>
  </si>
  <si>
    <t>Spontaneous_associations</t>
  </si>
  <si>
    <t>N</t>
  </si>
  <si>
    <t>Positive buzz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</si>
</sst>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"/>
  <sheetViews>
    <sheetView tabSelected="1" topLeftCell="A230" workbookViewId="0">
      <selection activeCell="E231" sqref="E23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9" x14ac:dyDescent="0.25">
      <c r="A3" t="s">
        <v>15</v>
      </c>
      <c r="C3" t="s">
        <v>10</v>
      </c>
      <c r="D3" t="s">
        <v>11</v>
      </c>
      <c r="E3" t="s">
        <v>15</v>
      </c>
      <c r="G3" t="s">
        <v>14</v>
      </c>
    </row>
    <row r="4" spans="1:9" x14ac:dyDescent="0.25">
      <c r="A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9" x14ac:dyDescent="0.25">
      <c r="A5" t="s">
        <v>22</v>
      </c>
      <c r="C5" t="s">
        <v>17</v>
      </c>
      <c r="D5" t="s">
        <v>18</v>
      </c>
      <c r="E5" t="s">
        <v>23</v>
      </c>
      <c r="F5" t="s">
        <v>24</v>
      </c>
      <c r="G5" t="s">
        <v>14</v>
      </c>
    </row>
    <row r="6" spans="1:9" x14ac:dyDescent="0.25">
      <c r="A6" t="s">
        <v>25</v>
      </c>
      <c r="C6" t="s">
        <v>10</v>
      </c>
      <c r="D6" t="s">
        <v>11</v>
      </c>
      <c r="E6" t="s">
        <v>25</v>
      </c>
      <c r="F6" t="s">
        <v>26</v>
      </c>
      <c r="G6" t="s">
        <v>14</v>
      </c>
    </row>
    <row r="7" spans="1:9" x14ac:dyDescent="0.25">
      <c r="A7" t="s">
        <v>27</v>
      </c>
      <c r="C7" t="s">
        <v>10</v>
      </c>
      <c r="D7" t="s">
        <v>11</v>
      </c>
      <c r="E7" t="s">
        <v>27</v>
      </c>
      <c r="F7" t="s">
        <v>28</v>
      </c>
      <c r="G7" t="s">
        <v>14</v>
      </c>
    </row>
    <row r="8" spans="1:9" x14ac:dyDescent="0.25">
      <c r="A8" t="s">
        <v>29</v>
      </c>
      <c r="C8" t="s">
        <v>10</v>
      </c>
      <c r="D8" t="s">
        <v>11</v>
      </c>
      <c r="E8" t="s">
        <v>29</v>
      </c>
      <c r="G8" t="s">
        <v>14</v>
      </c>
    </row>
    <row r="9" spans="1:9" x14ac:dyDescent="0.25">
      <c r="A9" t="s">
        <v>30</v>
      </c>
      <c r="C9" t="s">
        <v>10</v>
      </c>
      <c r="D9" t="s">
        <v>11</v>
      </c>
      <c r="E9" t="s">
        <v>30</v>
      </c>
      <c r="F9" t="s">
        <v>31</v>
      </c>
      <c r="G9" t="s">
        <v>14</v>
      </c>
    </row>
    <row r="10" spans="1:9" x14ac:dyDescent="0.25">
      <c r="A10" t="s">
        <v>30</v>
      </c>
      <c r="C10" t="s">
        <v>10</v>
      </c>
      <c r="D10" t="s">
        <v>11</v>
      </c>
      <c r="E10" t="s">
        <v>32</v>
      </c>
      <c r="F10" t="s">
        <v>31</v>
      </c>
      <c r="G10" t="s">
        <v>14</v>
      </c>
      <c r="H10" t="s">
        <v>33</v>
      </c>
      <c r="I10">
        <v>1</v>
      </c>
    </row>
    <row r="11" spans="1:9" x14ac:dyDescent="0.25">
      <c r="A11" t="s">
        <v>30</v>
      </c>
      <c r="C11" t="s">
        <v>10</v>
      </c>
      <c r="D11" t="s">
        <v>11</v>
      </c>
      <c r="E11" t="s">
        <v>34</v>
      </c>
      <c r="F11" t="s">
        <v>31</v>
      </c>
      <c r="G11" t="s">
        <v>14</v>
      </c>
      <c r="H11" t="s">
        <v>33</v>
      </c>
      <c r="I11">
        <v>2</v>
      </c>
    </row>
    <row r="12" spans="1:9" x14ac:dyDescent="0.25">
      <c r="A12" t="s">
        <v>30</v>
      </c>
      <c r="C12" t="s">
        <v>10</v>
      </c>
      <c r="D12" t="s">
        <v>11</v>
      </c>
      <c r="E12" t="s">
        <v>35</v>
      </c>
      <c r="F12" t="s">
        <v>31</v>
      </c>
      <c r="G12" t="s">
        <v>14</v>
      </c>
      <c r="H12" t="s">
        <v>36</v>
      </c>
      <c r="I12">
        <v>1</v>
      </c>
    </row>
    <row r="13" spans="1:9" x14ac:dyDescent="0.25">
      <c r="A13" t="s">
        <v>30</v>
      </c>
      <c r="C13" t="s">
        <v>10</v>
      </c>
      <c r="D13" t="s">
        <v>11</v>
      </c>
      <c r="E13" t="s">
        <v>37</v>
      </c>
      <c r="F13" t="s">
        <v>31</v>
      </c>
      <c r="G13" t="s">
        <v>14</v>
      </c>
      <c r="H13" t="s">
        <v>36</v>
      </c>
      <c r="I13">
        <v>2</v>
      </c>
    </row>
    <row r="14" spans="1:9" x14ac:dyDescent="0.25">
      <c r="A14" t="s">
        <v>30</v>
      </c>
      <c r="C14" t="s">
        <v>10</v>
      </c>
      <c r="D14" t="s">
        <v>11</v>
      </c>
      <c r="E14" t="s">
        <v>38</v>
      </c>
      <c r="F14" t="s">
        <v>31</v>
      </c>
      <c r="G14" t="s">
        <v>14</v>
      </c>
      <c r="H14" t="s">
        <v>39</v>
      </c>
      <c r="I14" t="s">
        <v>40</v>
      </c>
    </row>
    <row r="15" spans="1:9" x14ac:dyDescent="0.25">
      <c r="A15" t="s">
        <v>30</v>
      </c>
      <c r="C15" t="s">
        <v>10</v>
      </c>
      <c r="D15" t="s">
        <v>11</v>
      </c>
      <c r="E15" t="s">
        <v>41</v>
      </c>
      <c r="F15" t="s">
        <v>31</v>
      </c>
      <c r="G15" t="s">
        <v>14</v>
      </c>
      <c r="H15" t="s">
        <v>39</v>
      </c>
      <c r="I15" t="s">
        <v>42</v>
      </c>
    </row>
    <row r="16" spans="1:9" x14ac:dyDescent="0.25">
      <c r="A16" t="s">
        <v>30</v>
      </c>
      <c r="C16" t="s">
        <v>10</v>
      </c>
      <c r="D16" t="s">
        <v>11</v>
      </c>
      <c r="E16" t="s">
        <v>43</v>
      </c>
      <c r="F16" t="s">
        <v>31</v>
      </c>
      <c r="G16" t="s">
        <v>14</v>
      </c>
      <c r="H16" t="s">
        <v>39</v>
      </c>
      <c r="I16" t="s">
        <v>44</v>
      </c>
    </row>
    <row r="17" spans="1:7" x14ac:dyDescent="0.25">
      <c r="A17" t="s">
        <v>45</v>
      </c>
      <c r="C17" t="s">
        <v>17</v>
      </c>
      <c r="D17" t="s">
        <v>18</v>
      </c>
      <c r="E17" t="s">
        <v>46</v>
      </c>
      <c r="F17" t="s">
        <v>47</v>
      </c>
      <c r="G17" t="s">
        <v>14</v>
      </c>
    </row>
    <row r="18" spans="1:7" x14ac:dyDescent="0.25">
      <c r="A18" t="s">
        <v>48</v>
      </c>
      <c r="C18" t="s">
        <v>10</v>
      </c>
      <c r="D18" t="s">
        <v>11</v>
      </c>
      <c r="E18" t="s">
        <v>48</v>
      </c>
      <c r="F18" t="s">
        <v>49</v>
      </c>
      <c r="G18" t="s">
        <v>14</v>
      </c>
    </row>
    <row r="19" spans="1:7" x14ac:dyDescent="0.25">
      <c r="A19" t="s">
        <v>50</v>
      </c>
      <c r="C19" t="s">
        <v>17</v>
      </c>
      <c r="D19" t="s">
        <v>18</v>
      </c>
      <c r="E19" t="s">
        <v>51</v>
      </c>
      <c r="F19" t="s">
        <v>52</v>
      </c>
      <c r="G19" t="s">
        <v>14</v>
      </c>
    </row>
    <row r="20" spans="1:7" x14ac:dyDescent="0.25">
      <c r="A20" t="s">
        <v>53</v>
      </c>
      <c r="B20">
        <v>1</v>
      </c>
      <c r="C20" t="s">
        <v>17</v>
      </c>
      <c r="D20" t="s">
        <v>11</v>
      </c>
      <c r="E20" t="str">
        <f t="shared" ref="E20:E32" si="0">"Drinks"&amp;B20</f>
        <v>Drinks1</v>
      </c>
      <c r="G20" t="s">
        <v>54</v>
      </c>
    </row>
    <row r="21" spans="1:7" x14ac:dyDescent="0.25">
      <c r="A21" t="s">
        <v>53</v>
      </c>
      <c r="B21">
        <v>2</v>
      </c>
      <c r="C21" t="s">
        <v>17</v>
      </c>
      <c r="D21" t="s">
        <v>11</v>
      </c>
      <c r="E21" t="str">
        <f t="shared" si="0"/>
        <v>Drinks2</v>
      </c>
      <c r="G21" t="s">
        <v>55</v>
      </c>
    </row>
    <row r="22" spans="1:7" x14ac:dyDescent="0.25">
      <c r="A22" t="s">
        <v>53</v>
      </c>
      <c r="B22">
        <v>3</v>
      </c>
      <c r="C22" t="s">
        <v>17</v>
      </c>
      <c r="D22" t="s">
        <v>11</v>
      </c>
      <c r="E22" t="str">
        <f t="shared" si="0"/>
        <v>Drinks3</v>
      </c>
      <c r="G22" t="s">
        <v>56</v>
      </c>
    </row>
    <row r="23" spans="1:7" x14ac:dyDescent="0.25">
      <c r="A23" t="s">
        <v>53</v>
      </c>
      <c r="B23">
        <v>4</v>
      </c>
      <c r="C23" t="s">
        <v>17</v>
      </c>
      <c r="D23" t="s">
        <v>11</v>
      </c>
      <c r="E23" t="str">
        <f t="shared" si="0"/>
        <v>Drinks4</v>
      </c>
      <c r="G23" t="s">
        <v>57</v>
      </c>
    </row>
    <row r="24" spans="1:7" x14ac:dyDescent="0.25">
      <c r="A24" t="s">
        <v>53</v>
      </c>
      <c r="B24">
        <v>5</v>
      </c>
      <c r="C24" t="s">
        <v>17</v>
      </c>
      <c r="D24" t="s">
        <v>11</v>
      </c>
      <c r="E24" t="str">
        <f t="shared" si="0"/>
        <v>Drinks5</v>
      </c>
      <c r="G24" t="s">
        <v>58</v>
      </c>
    </row>
    <row r="25" spans="1:7" x14ac:dyDescent="0.25">
      <c r="A25" t="s">
        <v>53</v>
      </c>
      <c r="B25">
        <v>6</v>
      </c>
      <c r="C25" t="s">
        <v>17</v>
      </c>
      <c r="D25" t="s">
        <v>11</v>
      </c>
      <c r="E25" t="str">
        <f t="shared" si="0"/>
        <v>Drinks6</v>
      </c>
      <c r="G25" t="s">
        <v>59</v>
      </c>
    </row>
    <row r="26" spans="1:7" x14ac:dyDescent="0.25">
      <c r="A26" t="s">
        <v>53</v>
      </c>
      <c r="B26">
        <v>7</v>
      </c>
      <c r="C26" t="s">
        <v>17</v>
      </c>
      <c r="D26" t="s">
        <v>11</v>
      </c>
      <c r="E26" t="str">
        <f t="shared" si="0"/>
        <v>Drinks7</v>
      </c>
      <c r="G26" t="s">
        <v>60</v>
      </c>
    </row>
    <row r="27" spans="1:7" x14ac:dyDescent="0.25">
      <c r="A27" t="s">
        <v>53</v>
      </c>
      <c r="B27">
        <v>8</v>
      </c>
      <c r="C27" t="s">
        <v>17</v>
      </c>
      <c r="D27" t="s">
        <v>11</v>
      </c>
      <c r="E27" t="str">
        <f t="shared" si="0"/>
        <v>Drinks8</v>
      </c>
      <c r="G27" t="s">
        <v>61</v>
      </c>
    </row>
    <row r="28" spans="1:7" x14ac:dyDescent="0.25">
      <c r="A28" t="s">
        <v>53</v>
      </c>
      <c r="B28">
        <v>9</v>
      </c>
      <c r="C28" t="s">
        <v>17</v>
      </c>
      <c r="D28" t="s">
        <v>11</v>
      </c>
      <c r="E28" t="str">
        <f t="shared" si="0"/>
        <v>Drinks9</v>
      </c>
      <c r="G28" t="s">
        <v>62</v>
      </c>
    </row>
    <row r="29" spans="1:7" x14ac:dyDescent="0.25">
      <c r="A29" t="s">
        <v>53</v>
      </c>
      <c r="B29">
        <v>10</v>
      </c>
      <c r="C29" t="s">
        <v>17</v>
      </c>
      <c r="D29" t="s">
        <v>11</v>
      </c>
      <c r="E29" t="str">
        <f t="shared" si="0"/>
        <v>Drinks10</v>
      </c>
      <c r="G29" t="s">
        <v>63</v>
      </c>
    </row>
    <row r="30" spans="1:7" x14ac:dyDescent="0.25">
      <c r="A30" t="s">
        <v>53</v>
      </c>
      <c r="B30">
        <v>11</v>
      </c>
      <c r="C30" t="s">
        <v>17</v>
      </c>
      <c r="D30" t="s">
        <v>11</v>
      </c>
      <c r="E30" t="str">
        <f t="shared" si="0"/>
        <v>Drinks11</v>
      </c>
      <c r="G30" t="s">
        <v>64</v>
      </c>
    </row>
    <row r="31" spans="1:7" x14ac:dyDescent="0.25">
      <c r="A31" t="s">
        <v>53</v>
      </c>
      <c r="B31">
        <v>12</v>
      </c>
      <c r="C31" t="s">
        <v>17</v>
      </c>
      <c r="D31" t="s">
        <v>11</v>
      </c>
      <c r="E31" t="str">
        <f t="shared" si="0"/>
        <v>Drinks12</v>
      </c>
      <c r="G31" t="s">
        <v>65</v>
      </c>
    </row>
    <row r="32" spans="1:7" x14ac:dyDescent="0.25">
      <c r="A32" t="s">
        <v>53</v>
      </c>
      <c r="B32">
        <v>13</v>
      </c>
      <c r="C32" t="s">
        <v>17</v>
      </c>
      <c r="D32" t="s">
        <v>11</v>
      </c>
      <c r="E32" t="str">
        <f t="shared" si="0"/>
        <v>Drinks13</v>
      </c>
      <c r="G32" t="s">
        <v>66</v>
      </c>
    </row>
    <row r="33" spans="1:7" x14ac:dyDescent="0.25">
      <c r="A33" t="s">
        <v>67</v>
      </c>
      <c r="B33">
        <v>1</v>
      </c>
      <c r="C33" t="s">
        <v>17</v>
      </c>
      <c r="D33" t="s">
        <v>11</v>
      </c>
      <c r="E33" t="str">
        <f t="shared" ref="E33:E59" si="1">"Drivers"&amp;B33</f>
        <v>Drivers1</v>
      </c>
      <c r="G33" t="s">
        <v>68</v>
      </c>
    </row>
    <row r="34" spans="1:7" x14ac:dyDescent="0.25">
      <c r="A34" t="s">
        <v>67</v>
      </c>
      <c r="B34">
        <v>2</v>
      </c>
      <c r="C34" t="s">
        <v>17</v>
      </c>
      <c r="D34" t="s">
        <v>11</v>
      </c>
      <c r="E34" t="str">
        <f t="shared" si="1"/>
        <v>Drivers2</v>
      </c>
      <c r="G34" t="s">
        <v>69</v>
      </c>
    </row>
    <row r="35" spans="1:7" x14ac:dyDescent="0.25">
      <c r="A35" t="s">
        <v>67</v>
      </c>
      <c r="B35">
        <v>3</v>
      </c>
      <c r="C35" t="s">
        <v>17</v>
      </c>
      <c r="D35" t="s">
        <v>11</v>
      </c>
      <c r="E35" t="str">
        <f t="shared" si="1"/>
        <v>Drivers3</v>
      </c>
      <c r="G35" t="s">
        <v>70</v>
      </c>
    </row>
    <row r="36" spans="1:7" x14ac:dyDescent="0.25">
      <c r="A36" t="s">
        <v>67</v>
      </c>
      <c r="B36">
        <v>4</v>
      </c>
      <c r="C36" t="s">
        <v>17</v>
      </c>
      <c r="D36" t="s">
        <v>11</v>
      </c>
      <c r="E36" t="str">
        <f t="shared" si="1"/>
        <v>Drivers4</v>
      </c>
      <c r="G36" t="s">
        <v>71</v>
      </c>
    </row>
    <row r="37" spans="1:7" x14ac:dyDescent="0.25">
      <c r="A37" t="s">
        <v>67</v>
      </c>
      <c r="B37">
        <v>5</v>
      </c>
      <c r="C37" t="s">
        <v>17</v>
      </c>
      <c r="D37" t="s">
        <v>11</v>
      </c>
      <c r="E37" t="str">
        <f t="shared" si="1"/>
        <v>Drivers5</v>
      </c>
      <c r="G37" t="s">
        <v>72</v>
      </c>
    </row>
    <row r="38" spans="1:7" x14ac:dyDescent="0.25">
      <c r="A38" t="s">
        <v>67</v>
      </c>
      <c r="B38">
        <v>6</v>
      </c>
      <c r="C38" t="s">
        <v>17</v>
      </c>
      <c r="D38" t="s">
        <v>11</v>
      </c>
      <c r="E38" t="str">
        <f t="shared" si="1"/>
        <v>Drivers6</v>
      </c>
      <c r="G38" t="s">
        <v>73</v>
      </c>
    </row>
    <row r="39" spans="1:7" x14ac:dyDescent="0.25">
      <c r="A39" t="s">
        <v>67</v>
      </c>
      <c r="B39">
        <v>7</v>
      </c>
      <c r="C39" t="s">
        <v>17</v>
      </c>
      <c r="D39" t="s">
        <v>11</v>
      </c>
      <c r="E39" t="str">
        <f t="shared" si="1"/>
        <v>Drivers7</v>
      </c>
      <c r="G39" t="s">
        <v>74</v>
      </c>
    </row>
    <row r="40" spans="1:7" x14ac:dyDescent="0.25">
      <c r="A40" t="s">
        <v>67</v>
      </c>
      <c r="B40">
        <v>8</v>
      </c>
      <c r="C40" t="s">
        <v>17</v>
      </c>
      <c r="D40" t="s">
        <v>11</v>
      </c>
      <c r="E40" t="str">
        <f t="shared" si="1"/>
        <v>Drivers8</v>
      </c>
      <c r="G40" t="s">
        <v>75</v>
      </c>
    </row>
    <row r="41" spans="1:7" x14ac:dyDescent="0.25">
      <c r="A41" t="s">
        <v>67</v>
      </c>
      <c r="B41">
        <v>9</v>
      </c>
      <c r="C41" t="s">
        <v>17</v>
      </c>
      <c r="D41" t="s">
        <v>11</v>
      </c>
      <c r="E41" t="str">
        <f t="shared" si="1"/>
        <v>Drivers9</v>
      </c>
      <c r="G41" t="s">
        <v>76</v>
      </c>
    </row>
    <row r="42" spans="1:7" x14ac:dyDescent="0.25">
      <c r="A42" t="s">
        <v>67</v>
      </c>
      <c r="B42">
        <v>10</v>
      </c>
      <c r="C42" t="s">
        <v>17</v>
      </c>
      <c r="D42" t="s">
        <v>11</v>
      </c>
      <c r="E42" t="str">
        <f t="shared" si="1"/>
        <v>Drivers10</v>
      </c>
      <c r="G42" t="s">
        <v>77</v>
      </c>
    </row>
    <row r="43" spans="1:7" x14ac:dyDescent="0.25">
      <c r="A43" t="s">
        <v>67</v>
      </c>
      <c r="B43">
        <v>11</v>
      </c>
      <c r="C43" t="s">
        <v>17</v>
      </c>
      <c r="D43" t="s">
        <v>11</v>
      </c>
      <c r="E43" t="str">
        <f t="shared" si="1"/>
        <v>Drivers11</v>
      </c>
      <c r="G43" t="s">
        <v>78</v>
      </c>
    </row>
    <row r="44" spans="1:7" x14ac:dyDescent="0.25">
      <c r="A44" t="s">
        <v>67</v>
      </c>
      <c r="B44">
        <v>12</v>
      </c>
      <c r="C44" t="s">
        <v>17</v>
      </c>
      <c r="D44" t="s">
        <v>11</v>
      </c>
      <c r="E44" t="str">
        <f t="shared" si="1"/>
        <v>Drivers12</v>
      </c>
      <c r="G44" t="s">
        <v>79</v>
      </c>
    </row>
    <row r="45" spans="1:7" x14ac:dyDescent="0.25">
      <c r="A45" t="s">
        <v>67</v>
      </c>
      <c r="B45">
        <v>13</v>
      </c>
      <c r="C45" t="s">
        <v>17</v>
      </c>
      <c r="D45" t="s">
        <v>11</v>
      </c>
      <c r="E45" t="str">
        <f t="shared" si="1"/>
        <v>Drivers13</v>
      </c>
      <c r="G45" t="s">
        <v>80</v>
      </c>
    </row>
    <row r="46" spans="1:7" x14ac:dyDescent="0.25">
      <c r="A46" t="s">
        <v>67</v>
      </c>
      <c r="B46">
        <v>14</v>
      </c>
      <c r="C46" t="s">
        <v>17</v>
      </c>
      <c r="D46" t="s">
        <v>11</v>
      </c>
      <c r="E46" t="str">
        <f t="shared" si="1"/>
        <v>Drivers14</v>
      </c>
      <c r="G46" t="s">
        <v>81</v>
      </c>
    </row>
    <row r="47" spans="1:7" x14ac:dyDescent="0.25">
      <c r="A47" t="s">
        <v>67</v>
      </c>
      <c r="B47">
        <v>15</v>
      </c>
      <c r="C47" t="s">
        <v>17</v>
      </c>
      <c r="D47" t="s">
        <v>11</v>
      </c>
      <c r="E47" t="str">
        <f t="shared" si="1"/>
        <v>Drivers15</v>
      </c>
      <c r="G47" t="s">
        <v>82</v>
      </c>
    </row>
    <row r="48" spans="1:7" x14ac:dyDescent="0.25">
      <c r="A48" t="s">
        <v>67</v>
      </c>
      <c r="B48">
        <v>16</v>
      </c>
      <c r="C48" t="s">
        <v>17</v>
      </c>
      <c r="D48" t="s">
        <v>11</v>
      </c>
      <c r="E48" t="str">
        <f t="shared" si="1"/>
        <v>Drivers16</v>
      </c>
      <c r="G48" t="s">
        <v>83</v>
      </c>
    </row>
    <row r="49" spans="1:7" x14ac:dyDescent="0.25">
      <c r="A49" t="s">
        <v>67</v>
      </c>
      <c r="B49">
        <v>17</v>
      </c>
      <c r="C49" t="s">
        <v>17</v>
      </c>
      <c r="D49" t="s">
        <v>11</v>
      </c>
      <c r="E49" t="str">
        <f t="shared" si="1"/>
        <v>Drivers17</v>
      </c>
      <c r="G49" t="s">
        <v>84</v>
      </c>
    </row>
    <row r="50" spans="1:7" x14ac:dyDescent="0.25">
      <c r="A50" t="s">
        <v>67</v>
      </c>
      <c r="B50">
        <v>18</v>
      </c>
      <c r="C50" t="s">
        <v>17</v>
      </c>
      <c r="D50" t="s">
        <v>11</v>
      </c>
      <c r="E50" t="str">
        <f t="shared" si="1"/>
        <v>Drivers18</v>
      </c>
      <c r="G50" t="s">
        <v>85</v>
      </c>
    </row>
    <row r="51" spans="1:7" x14ac:dyDescent="0.25">
      <c r="A51" t="s">
        <v>67</v>
      </c>
      <c r="B51">
        <v>19</v>
      </c>
      <c r="C51" t="s">
        <v>17</v>
      </c>
      <c r="D51" t="s">
        <v>11</v>
      </c>
      <c r="E51" t="str">
        <f t="shared" si="1"/>
        <v>Drivers19</v>
      </c>
      <c r="G51" t="s">
        <v>86</v>
      </c>
    </row>
    <row r="52" spans="1:7" x14ac:dyDescent="0.25">
      <c r="A52" t="s">
        <v>67</v>
      </c>
      <c r="B52">
        <v>20</v>
      </c>
      <c r="C52" t="s">
        <v>17</v>
      </c>
      <c r="D52" t="s">
        <v>11</v>
      </c>
      <c r="E52" t="str">
        <f t="shared" si="1"/>
        <v>Drivers20</v>
      </c>
      <c r="G52" t="s">
        <v>87</v>
      </c>
    </row>
    <row r="53" spans="1:7" x14ac:dyDescent="0.25">
      <c r="A53" t="s">
        <v>67</v>
      </c>
      <c r="B53">
        <v>21</v>
      </c>
      <c r="C53" t="s">
        <v>17</v>
      </c>
      <c r="D53" t="s">
        <v>11</v>
      </c>
      <c r="E53" t="str">
        <f t="shared" si="1"/>
        <v>Drivers21</v>
      </c>
      <c r="G53" t="s">
        <v>88</v>
      </c>
    </row>
    <row r="54" spans="1:7" x14ac:dyDescent="0.25">
      <c r="A54" t="s">
        <v>67</v>
      </c>
      <c r="B54">
        <v>22</v>
      </c>
      <c r="C54" t="s">
        <v>17</v>
      </c>
      <c r="D54" t="s">
        <v>11</v>
      </c>
      <c r="E54" t="str">
        <f t="shared" si="1"/>
        <v>Drivers22</v>
      </c>
      <c r="G54" t="s">
        <v>89</v>
      </c>
    </row>
    <row r="55" spans="1:7" x14ac:dyDescent="0.25">
      <c r="A55" t="s">
        <v>67</v>
      </c>
      <c r="B55">
        <v>23</v>
      </c>
      <c r="C55" t="s">
        <v>17</v>
      </c>
      <c r="D55" t="s">
        <v>11</v>
      </c>
      <c r="E55" t="str">
        <f t="shared" si="1"/>
        <v>Drivers23</v>
      </c>
      <c r="G55" t="s">
        <v>90</v>
      </c>
    </row>
    <row r="56" spans="1:7" x14ac:dyDescent="0.25">
      <c r="A56" t="s">
        <v>67</v>
      </c>
      <c r="B56">
        <v>24</v>
      </c>
      <c r="C56" t="s">
        <v>17</v>
      </c>
      <c r="D56" t="s">
        <v>11</v>
      </c>
      <c r="E56" t="str">
        <f t="shared" si="1"/>
        <v>Drivers24</v>
      </c>
      <c r="G56" t="s">
        <v>91</v>
      </c>
    </row>
    <row r="57" spans="1:7" x14ac:dyDescent="0.25">
      <c r="A57" t="s">
        <v>67</v>
      </c>
      <c r="B57">
        <v>25</v>
      </c>
      <c r="C57" t="s">
        <v>17</v>
      </c>
      <c r="D57" t="s">
        <v>11</v>
      </c>
      <c r="E57" t="str">
        <f t="shared" si="1"/>
        <v>Drivers25</v>
      </c>
      <c r="G57" t="s">
        <v>92</v>
      </c>
    </row>
    <row r="58" spans="1:7" x14ac:dyDescent="0.25">
      <c r="A58" t="s">
        <v>67</v>
      </c>
      <c r="B58">
        <v>26</v>
      </c>
      <c r="C58" t="s">
        <v>17</v>
      </c>
      <c r="D58" t="s">
        <v>11</v>
      </c>
      <c r="E58" t="str">
        <f t="shared" si="1"/>
        <v>Drivers26</v>
      </c>
      <c r="G58" t="s">
        <v>93</v>
      </c>
    </row>
    <row r="59" spans="1:7" x14ac:dyDescent="0.25">
      <c r="A59" t="s">
        <v>67</v>
      </c>
      <c r="B59">
        <v>27</v>
      </c>
      <c r="C59" t="s">
        <v>17</v>
      </c>
      <c r="D59" t="s">
        <v>11</v>
      </c>
      <c r="E59" t="str">
        <f t="shared" si="1"/>
        <v>Drivers27</v>
      </c>
      <c r="G59" t="s">
        <v>94</v>
      </c>
    </row>
    <row r="60" spans="1:7" x14ac:dyDescent="0.25">
      <c r="A60" t="s">
        <v>95</v>
      </c>
      <c r="C60" t="s">
        <v>10</v>
      </c>
      <c r="D60" t="s">
        <v>11</v>
      </c>
      <c r="E60" t="s">
        <v>95</v>
      </c>
      <c r="G60" t="s">
        <v>14</v>
      </c>
    </row>
    <row r="61" spans="1:7" x14ac:dyDescent="0.25">
      <c r="A61" t="s">
        <v>96</v>
      </c>
      <c r="C61" t="s">
        <v>17</v>
      </c>
      <c r="D61" t="s">
        <v>18</v>
      </c>
      <c r="E61" t="s">
        <v>97</v>
      </c>
      <c r="F61" t="s">
        <v>52</v>
      </c>
      <c r="G61" t="s">
        <v>14</v>
      </c>
    </row>
    <row r="62" spans="1:7" x14ac:dyDescent="0.25">
      <c r="A62" t="s">
        <v>98</v>
      </c>
      <c r="B62">
        <v>1</v>
      </c>
      <c r="C62" t="s">
        <v>17</v>
      </c>
      <c r="D62" t="s">
        <v>11</v>
      </c>
      <c r="E62" t="str">
        <f t="shared" ref="E62:E67" si="2">"Food_detail"&amp;B62</f>
        <v>Food_detail1</v>
      </c>
      <c r="G62" t="s">
        <v>99</v>
      </c>
    </row>
    <row r="63" spans="1:7" x14ac:dyDescent="0.25">
      <c r="A63" t="s">
        <v>98</v>
      </c>
      <c r="B63">
        <v>2</v>
      </c>
      <c r="C63" t="s">
        <v>17</v>
      </c>
      <c r="D63" t="s">
        <v>11</v>
      </c>
      <c r="E63" t="str">
        <f t="shared" si="2"/>
        <v>Food_detail2</v>
      </c>
      <c r="G63" t="s">
        <v>100</v>
      </c>
    </row>
    <row r="64" spans="1:7" x14ac:dyDescent="0.25">
      <c r="A64" t="s">
        <v>98</v>
      </c>
      <c r="B64">
        <v>3</v>
      </c>
      <c r="C64" t="s">
        <v>17</v>
      </c>
      <c r="D64" t="s">
        <v>11</v>
      </c>
      <c r="E64" t="str">
        <f t="shared" si="2"/>
        <v>Food_detail3</v>
      </c>
      <c r="G64" t="s">
        <v>101</v>
      </c>
    </row>
    <row r="65" spans="1:7" x14ac:dyDescent="0.25">
      <c r="A65" t="s">
        <v>98</v>
      </c>
      <c r="B65">
        <v>4</v>
      </c>
      <c r="C65" t="s">
        <v>17</v>
      </c>
      <c r="D65" t="s">
        <v>11</v>
      </c>
      <c r="E65" t="str">
        <f t="shared" si="2"/>
        <v>Food_detail4</v>
      </c>
      <c r="G65" t="s">
        <v>102</v>
      </c>
    </row>
    <row r="66" spans="1:7" x14ac:dyDescent="0.25">
      <c r="A66" t="s">
        <v>98</v>
      </c>
      <c r="B66">
        <v>5</v>
      </c>
      <c r="C66" t="s">
        <v>17</v>
      </c>
      <c r="D66" t="s">
        <v>11</v>
      </c>
      <c r="E66" t="str">
        <f t="shared" si="2"/>
        <v>Food_detail5</v>
      </c>
      <c r="G66" t="s">
        <v>103</v>
      </c>
    </row>
    <row r="67" spans="1:7" x14ac:dyDescent="0.25">
      <c r="A67" t="s">
        <v>98</v>
      </c>
      <c r="B67">
        <v>6</v>
      </c>
      <c r="C67" t="s">
        <v>17</v>
      </c>
      <c r="D67" t="s">
        <v>11</v>
      </c>
      <c r="E67" t="str">
        <f t="shared" si="2"/>
        <v>Food_detail6</v>
      </c>
      <c r="G67" t="s">
        <v>104</v>
      </c>
    </row>
    <row r="68" spans="1:7" x14ac:dyDescent="0.25">
      <c r="A68" t="s">
        <v>105</v>
      </c>
      <c r="C68" t="s">
        <v>10</v>
      </c>
      <c r="D68" t="s">
        <v>11</v>
      </c>
      <c r="E68" t="s">
        <v>105</v>
      </c>
      <c r="G68" t="s">
        <v>14</v>
      </c>
    </row>
    <row r="69" spans="1:7" x14ac:dyDescent="0.25">
      <c r="A69" t="s">
        <v>106</v>
      </c>
      <c r="C69" t="s">
        <v>17</v>
      </c>
      <c r="D69" t="s">
        <v>11</v>
      </c>
      <c r="E69" t="s">
        <v>107</v>
      </c>
      <c r="G69" t="s">
        <v>14</v>
      </c>
    </row>
    <row r="70" spans="1:7" x14ac:dyDescent="0.25">
      <c r="A70" t="s">
        <v>108</v>
      </c>
      <c r="B70">
        <v>1</v>
      </c>
      <c r="C70" t="s">
        <v>17</v>
      </c>
      <c r="D70" t="s">
        <v>11</v>
      </c>
      <c r="E70" t="str">
        <f t="shared" ref="E70:E98" si="3">"Image_associate"&amp;B70</f>
        <v>Image_associate1</v>
      </c>
      <c r="G70" t="s">
        <v>109</v>
      </c>
    </row>
    <row r="71" spans="1:7" x14ac:dyDescent="0.25">
      <c r="A71" t="s">
        <v>108</v>
      </c>
      <c r="B71">
        <v>2</v>
      </c>
      <c r="C71" t="s">
        <v>17</v>
      </c>
      <c r="D71" t="s">
        <v>11</v>
      </c>
      <c r="E71" t="str">
        <f t="shared" si="3"/>
        <v>Image_associate2</v>
      </c>
      <c r="G71" t="s">
        <v>110</v>
      </c>
    </row>
    <row r="72" spans="1:7" x14ac:dyDescent="0.25">
      <c r="A72" t="s">
        <v>108</v>
      </c>
      <c r="B72">
        <v>3</v>
      </c>
      <c r="C72" t="s">
        <v>17</v>
      </c>
      <c r="D72" t="s">
        <v>11</v>
      </c>
      <c r="E72" t="str">
        <f t="shared" si="3"/>
        <v>Image_associate3</v>
      </c>
      <c r="G72" t="s">
        <v>111</v>
      </c>
    </row>
    <row r="73" spans="1:7" x14ac:dyDescent="0.25">
      <c r="A73" t="s">
        <v>108</v>
      </c>
      <c r="B73">
        <v>4</v>
      </c>
      <c r="C73" t="s">
        <v>17</v>
      </c>
      <c r="D73" t="s">
        <v>11</v>
      </c>
      <c r="E73" t="str">
        <f t="shared" si="3"/>
        <v>Image_associate4</v>
      </c>
      <c r="G73" t="s">
        <v>112</v>
      </c>
    </row>
    <row r="74" spans="1:7" x14ac:dyDescent="0.25">
      <c r="A74" t="s">
        <v>108</v>
      </c>
      <c r="B74">
        <v>5</v>
      </c>
      <c r="C74" t="s">
        <v>17</v>
      </c>
      <c r="D74" t="s">
        <v>11</v>
      </c>
      <c r="E74" t="str">
        <f t="shared" si="3"/>
        <v>Image_associate5</v>
      </c>
      <c r="G74" t="s">
        <v>113</v>
      </c>
    </row>
    <row r="75" spans="1:7" x14ac:dyDescent="0.25">
      <c r="A75" t="s">
        <v>108</v>
      </c>
      <c r="B75">
        <v>6</v>
      </c>
      <c r="C75" t="s">
        <v>17</v>
      </c>
      <c r="D75" t="s">
        <v>11</v>
      </c>
      <c r="E75" t="str">
        <f t="shared" si="3"/>
        <v>Image_associate6</v>
      </c>
      <c r="G75" t="s">
        <v>114</v>
      </c>
    </row>
    <row r="76" spans="1:7" x14ac:dyDescent="0.25">
      <c r="A76" t="s">
        <v>108</v>
      </c>
      <c r="B76">
        <v>7</v>
      </c>
      <c r="C76" t="s">
        <v>17</v>
      </c>
      <c r="D76" t="s">
        <v>11</v>
      </c>
      <c r="E76" t="str">
        <f t="shared" si="3"/>
        <v>Image_associate7</v>
      </c>
      <c r="G76" t="s">
        <v>115</v>
      </c>
    </row>
    <row r="77" spans="1:7" x14ac:dyDescent="0.25">
      <c r="A77" t="s">
        <v>108</v>
      </c>
      <c r="B77">
        <v>8</v>
      </c>
      <c r="C77" t="s">
        <v>17</v>
      </c>
      <c r="D77" t="s">
        <v>11</v>
      </c>
      <c r="E77" t="str">
        <f t="shared" si="3"/>
        <v>Image_associate8</v>
      </c>
      <c r="G77" t="s">
        <v>116</v>
      </c>
    </row>
    <row r="78" spans="1:7" x14ac:dyDescent="0.25">
      <c r="A78" t="s">
        <v>108</v>
      </c>
      <c r="B78">
        <v>9</v>
      </c>
      <c r="C78" t="s">
        <v>17</v>
      </c>
      <c r="D78" t="s">
        <v>11</v>
      </c>
      <c r="E78" t="str">
        <f t="shared" si="3"/>
        <v>Image_associate9</v>
      </c>
      <c r="G78" t="s">
        <v>117</v>
      </c>
    </row>
    <row r="79" spans="1:7" x14ac:dyDescent="0.25">
      <c r="A79" t="s">
        <v>108</v>
      </c>
      <c r="B79">
        <v>10</v>
      </c>
      <c r="C79" t="s">
        <v>17</v>
      </c>
      <c r="D79" t="s">
        <v>11</v>
      </c>
      <c r="E79" t="str">
        <f t="shared" si="3"/>
        <v>Image_associate10</v>
      </c>
      <c r="G79" t="s">
        <v>118</v>
      </c>
    </row>
    <row r="80" spans="1:7" x14ac:dyDescent="0.25">
      <c r="A80" t="s">
        <v>108</v>
      </c>
      <c r="B80">
        <v>11</v>
      </c>
      <c r="C80" t="s">
        <v>17</v>
      </c>
      <c r="D80" t="s">
        <v>11</v>
      </c>
      <c r="E80" t="str">
        <f t="shared" si="3"/>
        <v>Image_associate11</v>
      </c>
      <c r="G80" t="s">
        <v>119</v>
      </c>
    </row>
    <row r="81" spans="1:7" x14ac:dyDescent="0.25">
      <c r="A81" t="s">
        <v>108</v>
      </c>
      <c r="B81">
        <v>12</v>
      </c>
      <c r="C81" t="s">
        <v>17</v>
      </c>
      <c r="D81" t="s">
        <v>11</v>
      </c>
      <c r="E81" t="str">
        <f t="shared" si="3"/>
        <v>Image_associate12</v>
      </c>
      <c r="G81" t="s">
        <v>120</v>
      </c>
    </row>
    <row r="82" spans="1:7" x14ac:dyDescent="0.25">
      <c r="A82" t="s">
        <v>108</v>
      </c>
      <c r="B82">
        <v>13</v>
      </c>
      <c r="C82" t="s">
        <v>17</v>
      </c>
      <c r="D82" t="s">
        <v>11</v>
      </c>
      <c r="E82" t="str">
        <f t="shared" si="3"/>
        <v>Image_associate13</v>
      </c>
      <c r="G82" t="s">
        <v>121</v>
      </c>
    </row>
    <row r="83" spans="1:7" x14ac:dyDescent="0.25">
      <c r="A83" t="s">
        <v>108</v>
      </c>
      <c r="B83">
        <v>14</v>
      </c>
      <c r="C83" t="s">
        <v>17</v>
      </c>
      <c r="D83" t="s">
        <v>11</v>
      </c>
      <c r="E83" t="str">
        <f t="shared" si="3"/>
        <v>Image_associate14</v>
      </c>
      <c r="G83" t="s">
        <v>122</v>
      </c>
    </row>
    <row r="84" spans="1:7" x14ac:dyDescent="0.25">
      <c r="A84" t="s">
        <v>108</v>
      </c>
      <c r="B84">
        <v>15</v>
      </c>
      <c r="C84" t="s">
        <v>17</v>
      </c>
      <c r="D84" t="s">
        <v>11</v>
      </c>
      <c r="E84" t="str">
        <f t="shared" si="3"/>
        <v>Image_associate15</v>
      </c>
      <c r="G84" t="s">
        <v>123</v>
      </c>
    </row>
    <row r="85" spans="1:7" x14ac:dyDescent="0.25">
      <c r="A85" t="s">
        <v>108</v>
      </c>
      <c r="B85">
        <v>16</v>
      </c>
      <c r="C85" t="s">
        <v>17</v>
      </c>
      <c r="D85" t="s">
        <v>11</v>
      </c>
      <c r="E85" t="str">
        <f t="shared" si="3"/>
        <v>Image_associate16</v>
      </c>
      <c r="G85" t="s">
        <v>124</v>
      </c>
    </row>
    <row r="86" spans="1:7" x14ac:dyDescent="0.25">
      <c r="A86" t="s">
        <v>108</v>
      </c>
      <c r="B86">
        <v>17</v>
      </c>
      <c r="C86" t="s">
        <v>17</v>
      </c>
      <c r="D86" t="s">
        <v>11</v>
      </c>
      <c r="E86" t="str">
        <f t="shared" si="3"/>
        <v>Image_associate17</v>
      </c>
      <c r="G86" t="s">
        <v>125</v>
      </c>
    </row>
    <row r="87" spans="1:7" x14ac:dyDescent="0.25">
      <c r="A87" t="s">
        <v>108</v>
      </c>
      <c r="B87">
        <v>18</v>
      </c>
      <c r="C87" t="s">
        <v>17</v>
      </c>
      <c r="D87" t="s">
        <v>11</v>
      </c>
      <c r="E87" t="str">
        <f t="shared" si="3"/>
        <v>Image_associate18</v>
      </c>
      <c r="G87" t="s">
        <v>126</v>
      </c>
    </row>
    <row r="88" spans="1:7" x14ac:dyDescent="0.25">
      <c r="A88" t="s">
        <v>108</v>
      </c>
      <c r="B88">
        <v>19</v>
      </c>
      <c r="C88" t="s">
        <v>17</v>
      </c>
      <c r="D88" t="s">
        <v>11</v>
      </c>
      <c r="E88" t="str">
        <f t="shared" si="3"/>
        <v>Image_associate19</v>
      </c>
      <c r="G88" t="s">
        <v>127</v>
      </c>
    </row>
    <row r="89" spans="1:7" x14ac:dyDescent="0.25">
      <c r="A89" t="s">
        <v>108</v>
      </c>
      <c r="B89">
        <v>20</v>
      </c>
      <c r="C89" t="s">
        <v>17</v>
      </c>
      <c r="D89" t="s">
        <v>11</v>
      </c>
      <c r="E89" t="str">
        <f t="shared" si="3"/>
        <v>Image_associate20</v>
      </c>
      <c r="G89" t="s">
        <v>128</v>
      </c>
    </row>
    <row r="90" spans="1:7" x14ac:dyDescent="0.25">
      <c r="A90" t="s">
        <v>108</v>
      </c>
      <c r="B90">
        <v>21</v>
      </c>
      <c r="C90" t="s">
        <v>17</v>
      </c>
      <c r="D90" t="s">
        <v>11</v>
      </c>
      <c r="E90" t="str">
        <f t="shared" si="3"/>
        <v>Image_associate21</v>
      </c>
      <c r="G90" t="s">
        <v>129</v>
      </c>
    </row>
    <row r="91" spans="1:7" x14ac:dyDescent="0.25">
      <c r="A91" t="s">
        <v>108</v>
      </c>
      <c r="B91">
        <v>22</v>
      </c>
      <c r="C91" t="s">
        <v>17</v>
      </c>
      <c r="D91" t="s">
        <v>11</v>
      </c>
      <c r="E91" t="str">
        <f t="shared" si="3"/>
        <v>Image_associate22</v>
      </c>
      <c r="G91" t="s">
        <v>130</v>
      </c>
    </row>
    <row r="92" spans="1:7" x14ac:dyDescent="0.25">
      <c r="A92" t="s">
        <v>108</v>
      </c>
      <c r="B92">
        <v>23</v>
      </c>
      <c r="C92" t="s">
        <v>17</v>
      </c>
      <c r="D92" t="s">
        <v>11</v>
      </c>
      <c r="E92" t="str">
        <f t="shared" si="3"/>
        <v>Image_associate23</v>
      </c>
      <c r="G92" t="s">
        <v>131</v>
      </c>
    </row>
    <row r="93" spans="1:7" x14ac:dyDescent="0.25">
      <c r="A93" t="s">
        <v>108</v>
      </c>
      <c r="B93">
        <v>24</v>
      </c>
      <c r="C93" t="s">
        <v>17</v>
      </c>
      <c r="D93" t="s">
        <v>11</v>
      </c>
      <c r="E93" t="str">
        <f t="shared" si="3"/>
        <v>Image_associate24</v>
      </c>
      <c r="G93" t="s">
        <v>132</v>
      </c>
    </row>
    <row r="94" spans="1:7" x14ac:dyDescent="0.25">
      <c r="A94" t="s">
        <v>108</v>
      </c>
      <c r="B94">
        <v>25</v>
      </c>
      <c r="C94" t="s">
        <v>17</v>
      </c>
      <c r="D94" t="s">
        <v>11</v>
      </c>
      <c r="E94" t="str">
        <f t="shared" si="3"/>
        <v>Image_associate25</v>
      </c>
      <c r="G94" t="s">
        <v>133</v>
      </c>
    </row>
    <row r="95" spans="1:7" x14ac:dyDescent="0.25">
      <c r="A95" t="s">
        <v>108</v>
      </c>
      <c r="B95">
        <v>26</v>
      </c>
      <c r="C95" t="s">
        <v>17</v>
      </c>
      <c r="D95" t="s">
        <v>11</v>
      </c>
      <c r="E95" t="str">
        <f t="shared" si="3"/>
        <v>Image_associate26</v>
      </c>
      <c r="G95" t="s">
        <v>134</v>
      </c>
    </row>
    <row r="96" spans="1:7" x14ac:dyDescent="0.25">
      <c r="A96" t="s">
        <v>108</v>
      </c>
      <c r="B96">
        <v>28</v>
      </c>
      <c r="C96" t="s">
        <v>17</v>
      </c>
      <c r="D96" t="s">
        <v>11</v>
      </c>
      <c r="E96" t="str">
        <f t="shared" si="3"/>
        <v>Image_associate28</v>
      </c>
      <c r="G96" t="s">
        <v>135</v>
      </c>
    </row>
    <row r="97" spans="1:7" x14ac:dyDescent="0.25">
      <c r="A97" t="s">
        <v>108</v>
      </c>
      <c r="B97">
        <v>29</v>
      </c>
      <c r="C97" t="s">
        <v>17</v>
      </c>
      <c r="D97" t="s">
        <v>11</v>
      </c>
      <c r="E97" t="str">
        <f t="shared" si="3"/>
        <v>Image_associate29</v>
      </c>
      <c r="G97" t="s">
        <v>136</v>
      </c>
    </row>
    <row r="98" spans="1:7" x14ac:dyDescent="0.25">
      <c r="A98" t="s">
        <v>108</v>
      </c>
      <c r="B98">
        <v>30</v>
      </c>
      <c r="C98" t="s">
        <v>17</v>
      </c>
      <c r="D98" t="s">
        <v>11</v>
      </c>
      <c r="E98" t="str">
        <f t="shared" si="3"/>
        <v>Image_associate30</v>
      </c>
      <c r="G98" t="s">
        <v>137</v>
      </c>
    </row>
    <row r="99" spans="1:7" x14ac:dyDescent="0.25">
      <c r="A99" t="s">
        <v>138</v>
      </c>
      <c r="C99" t="s">
        <v>17</v>
      </c>
      <c r="D99" t="s">
        <v>18</v>
      </c>
      <c r="E99" t="s">
        <v>139</v>
      </c>
      <c r="F99" t="s">
        <v>140</v>
      </c>
      <c r="G99" t="s">
        <v>14</v>
      </c>
    </row>
    <row r="100" spans="1:7" x14ac:dyDescent="0.25">
      <c r="A100" t="s">
        <v>141</v>
      </c>
      <c r="B100">
        <v>1</v>
      </c>
      <c r="C100" t="s">
        <v>17</v>
      </c>
      <c r="D100" t="s">
        <v>11</v>
      </c>
      <c r="E100" t="str">
        <f t="shared" ref="E100:E135" si="4">"Lost_demand_drivers"&amp;B100</f>
        <v>Lost_demand_drivers1</v>
      </c>
      <c r="G100" t="s">
        <v>142</v>
      </c>
    </row>
    <row r="101" spans="1:7" x14ac:dyDescent="0.25">
      <c r="A101" t="s">
        <v>141</v>
      </c>
      <c r="B101">
        <v>2</v>
      </c>
      <c r="C101" t="s">
        <v>17</v>
      </c>
      <c r="D101" t="s">
        <v>11</v>
      </c>
      <c r="E101" t="str">
        <f t="shared" si="4"/>
        <v>Lost_demand_drivers2</v>
      </c>
      <c r="G101" t="s">
        <v>143</v>
      </c>
    </row>
    <row r="102" spans="1:7" x14ac:dyDescent="0.25">
      <c r="A102" t="s">
        <v>141</v>
      </c>
      <c r="B102">
        <v>3</v>
      </c>
      <c r="C102" t="s">
        <v>17</v>
      </c>
      <c r="D102" t="s">
        <v>11</v>
      </c>
      <c r="E102" t="str">
        <f t="shared" si="4"/>
        <v>Lost_demand_drivers3</v>
      </c>
      <c r="G102" t="s">
        <v>144</v>
      </c>
    </row>
    <row r="103" spans="1:7" x14ac:dyDescent="0.25">
      <c r="A103" t="s">
        <v>141</v>
      </c>
      <c r="B103">
        <v>4</v>
      </c>
      <c r="C103" t="s">
        <v>17</v>
      </c>
      <c r="D103" t="s">
        <v>11</v>
      </c>
      <c r="E103" t="str">
        <f t="shared" si="4"/>
        <v>Lost_demand_drivers4</v>
      </c>
      <c r="G103" t="s">
        <v>145</v>
      </c>
    </row>
    <row r="104" spans="1:7" x14ac:dyDescent="0.25">
      <c r="A104" t="s">
        <v>141</v>
      </c>
      <c r="B104">
        <v>5</v>
      </c>
      <c r="C104" t="s">
        <v>17</v>
      </c>
      <c r="D104" t="s">
        <v>11</v>
      </c>
      <c r="E104" t="str">
        <f t="shared" si="4"/>
        <v>Lost_demand_drivers5</v>
      </c>
      <c r="G104" t="s">
        <v>146</v>
      </c>
    </row>
    <row r="105" spans="1:7" x14ac:dyDescent="0.25">
      <c r="A105" t="s">
        <v>141</v>
      </c>
      <c r="B105">
        <v>6</v>
      </c>
      <c r="C105" t="s">
        <v>17</v>
      </c>
      <c r="D105" t="s">
        <v>11</v>
      </c>
      <c r="E105" t="str">
        <f t="shared" si="4"/>
        <v>Lost_demand_drivers6</v>
      </c>
      <c r="G105" t="s">
        <v>147</v>
      </c>
    </row>
    <row r="106" spans="1:7" x14ac:dyDescent="0.25">
      <c r="A106" t="s">
        <v>141</v>
      </c>
      <c r="B106">
        <v>7</v>
      </c>
      <c r="C106" t="s">
        <v>17</v>
      </c>
      <c r="D106" t="s">
        <v>11</v>
      </c>
      <c r="E106" t="str">
        <f t="shared" si="4"/>
        <v>Lost_demand_drivers7</v>
      </c>
      <c r="G106" t="s">
        <v>148</v>
      </c>
    </row>
    <row r="107" spans="1:7" x14ac:dyDescent="0.25">
      <c r="A107" t="s">
        <v>141</v>
      </c>
      <c r="B107">
        <v>8</v>
      </c>
      <c r="C107" t="s">
        <v>17</v>
      </c>
      <c r="D107" t="s">
        <v>11</v>
      </c>
      <c r="E107" t="str">
        <f t="shared" si="4"/>
        <v>Lost_demand_drivers8</v>
      </c>
      <c r="G107" t="s">
        <v>149</v>
      </c>
    </row>
    <row r="108" spans="1:7" x14ac:dyDescent="0.25">
      <c r="A108" t="s">
        <v>141</v>
      </c>
      <c r="B108">
        <v>9</v>
      </c>
      <c r="C108" t="s">
        <v>17</v>
      </c>
      <c r="D108" t="s">
        <v>11</v>
      </c>
      <c r="E108" t="str">
        <f t="shared" si="4"/>
        <v>Lost_demand_drivers9</v>
      </c>
      <c r="G108" t="s">
        <v>150</v>
      </c>
    </row>
    <row r="109" spans="1:7" x14ac:dyDescent="0.25">
      <c r="A109" t="s">
        <v>141</v>
      </c>
      <c r="B109">
        <v>10</v>
      </c>
      <c r="C109" t="s">
        <v>17</v>
      </c>
      <c r="D109" t="s">
        <v>11</v>
      </c>
      <c r="E109" t="str">
        <f t="shared" si="4"/>
        <v>Lost_demand_drivers10</v>
      </c>
      <c r="G109" t="s">
        <v>151</v>
      </c>
    </row>
    <row r="110" spans="1:7" x14ac:dyDescent="0.25">
      <c r="A110" t="s">
        <v>141</v>
      </c>
      <c r="B110">
        <v>11</v>
      </c>
      <c r="C110" t="s">
        <v>17</v>
      </c>
      <c r="D110" t="s">
        <v>11</v>
      </c>
      <c r="E110" t="str">
        <f t="shared" si="4"/>
        <v>Lost_demand_drivers11</v>
      </c>
      <c r="G110" t="s">
        <v>152</v>
      </c>
    </row>
    <row r="111" spans="1:7" x14ac:dyDescent="0.25">
      <c r="A111" t="s">
        <v>141</v>
      </c>
      <c r="B111">
        <v>12</v>
      </c>
      <c r="C111" t="s">
        <v>17</v>
      </c>
      <c r="D111" t="s">
        <v>11</v>
      </c>
      <c r="E111" t="str">
        <f t="shared" si="4"/>
        <v>Lost_demand_drivers12</v>
      </c>
      <c r="G111" t="s">
        <v>153</v>
      </c>
    </row>
    <row r="112" spans="1:7" x14ac:dyDescent="0.25">
      <c r="A112" t="s">
        <v>141</v>
      </c>
      <c r="B112">
        <v>13</v>
      </c>
      <c r="C112" t="s">
        <v>17</v>
      </c>
      <c r="D112" t="s">
        <v>11</v>
      </c>
      <c r="E112" t="str">
        <f t="shared" si="4"/>
        <v>Lost_demand_drivers13</v>
      </c>
      <c r="G112" t="s">
        <v>154</v>
      </c>
    </row>
    <row r="113" spans="1:7" x14ac:dyDescent="0.25">
      <c r="A113" t="s">
        <v>141</v>
      </c>
      <c r="B113">
        <v>14</v>
      </c>
      <c r="C113" t="s">
        <v>17</v>
      </c>
      <c r="D113" t="s">
        <v>11</v>
      </c>
      <c r="E113" t="str">
        <f t="shared" si="4"/>
        <v>Lost_demand_drivers14</v>
      </c>
      <c r="G113" t="s">
        <v>155</v>
      </c>
    </row>
    <row r="114" spans="1:7" x14ac:dyDescent="0.25">
      <c r="A114" t="s">
        <v>141</v>
      </c>
      <c r="B114">
        <v>15</v>
      </c>
      <c r="C114" t="s">
        <v>17</v>
      </c>
      <c r="D114" t="s">
        <v>11</v>
      </c>
      <c r="E114" t="str">
        <f t="shared" si="4"/>
        <v>Lost_demand_drivers15</v>
      </c>
      <c r="G114" t="s">
        <v>156</v>
      </c>
    </row>
    <row r="115" spans="1:7" x14ac:dyDescent="0.25">
      <c r="A115" t="s">
        <v>141</v>
      </c>
      <c r="B115">
        <v>16</v>
      </c>
      <c r="C115" t="s">
        <v>17</v>
      </c>
      <c r="D115" t="s">
        <v>11</v>
      </c>
      <c r="E115" t="str">
        <f t="shared" si="4"/>
        <v>Lost_demand_drivers16</v>
      </c>
      <c r="G115" t="s">
        <v>157</v>
      </c>
    </row>
    <row r="116" spans="1:7" x14ac:dyDescent="0.25">
      <c r="A116" t="s">
        <v>141</v>
      </c>
      <c r="B116">
        <v>17</v>
      </c>
      <c r="C116" t="s">
        <v>17</v>
      </c>
      <c r="D116" t="s">
        <v>11</v>
      </c>
      <c r="E116" t="str">
        <f t="shared" si="4"/>
        <v>Lost_demand_drivers17</v>
      </c>
      <c r="G116" t="s">
        <v>158</v>
      </c>
    </row>
    <row r="117" spans="1:7" x14ac:dyDescent="0.25">
      <c r="A117" t="s">
        <v>141</v>
      </c>
      <c r="B117">
        <v>18</v>
      </c>
      <c r="C117" t="s">
        <v>17</v>
      </c>
      <c r="D117" t="s">
        <v>11</v>
      </c>
      <c r="E117" t="str">
        <f t="shared" si="4"/>
        <v>Lost_demand_drivers18</v>
      </c>
      <c r="G117" t="s">
        <v>159</v>
      </c>
    </row>
    <row r="118" spans="1:7" x14ac:dyDescent="0.25">
      <c r="A118" t="s">
        <v>141</v>
      </c>
      <c r="B118">
        <v>19</v>
      </c>
      <c r="C118" t="s">
        <v>17</v>
      </c>
      <c r="D118" t="s">
        <v>11</v>
      </c>
      <c r="E118" t="str">
        <f t="shared" si="4"/>
        <v>Lost_demand_drivers19</v>
      </c>
      <c r="G118" t="s">
        <v>160</v>
      </c>
    </row>
    <row r="119" spans="1:7" x14ac:dyDescent="0.25">
      <c r="A119" t="s">
        <v>141</v>
      </c>
      <c r="B119">
        <v>20</v>
      </c>
      <c r="C119" t="s">
        <v>17</v>
      </c>
      <c r="D119" t="s">
        <v>11</v>
      </c>
      <c r="E119" t="str">
        <f t="shared" si="4"/>
        <v>Lost_demand_drivers20</v>
      </c>
      <c r="G119" t="s">
        <v>161</v>
      </c>
    </row>
    <row r="120" spans="1:7" x14ac:dyDescent="0.25">
      <c r="A120" t="s">
        <v>141</v>
      </c>
      <c r="B120">
        <v>21</v>
      </c>
      <c r="C120" t="s">
        <v>17</v>
      </c>
      <c r="D120" t="s">
        <v>11</v>
      </c>
      <c r="E120" t="str">
        <f t="shared" si="4"/>
        <v>Lost_demand_drivers21</v>
      </c>
      <c r="G120" t="s">
        <v>162</v>
      </c>
    </row>
    <row r="121" spans="1:7" x14ac:dyDescent="0.25">
      <c r="A121" t="s">
        <v>141</v>
      </c>
      <c r="B121">
        <v>22</v>
      </c>
      <c r="C121" t="s">
        <v>17</v>
      </c>
      <c r="D121" t="s">
        <v>11</v>
      </c>
      <c r="E121" t="str">
        <f t="shared" si="4"/>
        <v>Lost_demand_drivers22</v>
      </c>
      <c r="G121" t="s">
        <v>163</v>
      </c>
    </row>
    <row r="122" spans="1:7" x14ac:dyDescent="0.25">
      <c r="A122" t="s">
        <v>141</v>
      </c>
      <c r="B122">
        <v>23</v>
      </c>
      <c r="C122" t="s">
        <v>17</v>
      </c>
      <c r="D122" t="s">
        <v>11</v>
      </c>
      <c r="E122" t="str">
        <f t="shared" si="4"/>
        <v>Lost_demand_drivers23</v>
      </c>
      <c r="G122" t="s">
        <v>164</v>
      </c>
    </row>
    <row r="123" spans="1:7" x14ac:dyDescent="0.25">
      <c r="A123" t="s">
        <v>141</v>
      </c>
      <c r="B123">
        <v>24</v>
      </c>
      <c r="C123" t="s">
        <v>17</v>
      </c>
      <c r="D123" t="s">
        <v>11</v>
      </c>
      <c r="E123" t="str">
        <f t="shared" si="4"/>
        <v>Lost_demand_drivers24</v>
      </c>
      <c r="G123" t="s">
        <v>165</v>
      </c>
    </row>
    <row r="124" spans="1:7" x14ac:dyDescent="0.25">
      <c r="A124" t="s">
        <v>141</v>
      </c>
      <c r="B124">
        <v>25</v>
      </c>
      <c r="C124" t="s">
        <v>17</v>
      </c>
      <c r="D124" t="s">
        <v>11</v>
      </c>
      <c r="E124" t="str">
        <f t="shared" si="4"/>
        <v>Lost_demand_drivers25</v>
      </c>
      <c r="G124" t="s">
        <v>166</v>
      </c>
    </row>
    <row r="125" spans="1:7" x14ac:dyDescent="0.25">
      <c r="A125" t="s">
        <v>141</v>
      </c>
      <c r="B125">
        <v>26</v>
      </c>
      <c r="C125" t="s">
        <v>17</v>
      </c>
      <c r="D125" t="s">
        <v>11</v>
      </c>
      <c r="E125" t="str">
        <f t="shared" si="4"/>
        <v>Lost_demand_drivers26</v>
      </c>
      <c r="G125" t="s">
        <v>167</v>
      </c>
    </row>
    <row r="126" spans="1:7" x14ac:dyDescent="0.25">
      <c r="A126" t="s">
        <v>141</v>
      </c>
      <c r="B126">
        <v>27</v>
      </c>
      <c r="C126" t="s">
        <v>17</v>
      </c>
      <c r="D126" t="s">
        <v>11</v>
      </c>
      <c r="E126" t="str">
        <f t="shared" si="4"/>
        <v>Lost_demand_drivers27</v>
      </c>
      <c r="G126" t="s">
        <v>168</v>
      </c>
    </row>
    <row r="127" spans="1:7" x14ac:dyDescent="0.25">
      <c r="A127" t="s">
        <v>141</v>
      </c>
      <c r="B127">
        <v>28</v>
      </c>
      <c r="C127" t="s">
        <v>17</v>
      </c>
      <c r="D127" t="s">
        <v>11</v>
      </c>
      <c r="E127" t="str">
        <f t="shared" si="4"/>
        <v>Lost_demand_drivers28</v>
      </c>
      <c r="G127" t="s">
        <v>169</v>
      </c>
    </row>
    <row r="128" spans="1:7" x14ac:dyDescent="0.25">
      <c r="A128" t="s">
        <v>141</v>
      </c>
      <c r="B128">
        <v>29</v>
      </c>
      <c r="C128" t="s">
        <v>17</v>
      </c>
      <c r="D128" t="s">
        <v>11</v>
      </c>
      <c r="E128" t="str">
        <f t="shared" si="4"/>
        <v>Lost_demand_drivers29</v>
      </c>
      <c r="G128" t="s">
        <v>170</v>
      </c>
    </row>
    <row r="129" spans="1:7" x14ac:dyDescent="0.25">
      <c r="A129" t="s">
        <v>141</v>
      </c>
      <c r="B129">
        <v>30</v>
      </c>
      <c r="C129" t="s">
        <v>17</v>
      </c>
      <c r="D129" t="s">
        <v>11</v>
      </c>
      <c r="E129" t="str">
        <f t="shared" si="4"/>
        <v>Lost_demand_drivers30</v>
      </c>
      <c r="G129" t="s">
        <v>171</v>
      </c>
    </row>
    <row r="130" spans="1:7" x14ac:dyDescent="0.25">
      <c r="A130" t="s">
        <v>141</v>
      </c>
      <c r="B130">
        <v>31</v>
      </c>
      <c r="C130" t="s">
        <v>17</v>
      </c>
      <c r="D130" t="s">
        <v>11</v>
      </c>
      <c r="E130" t="str">
        <f t="shared" si="4"/>
        <v>Lost_demand_drivers31</v>
      </c>
      <c r="G130" t="s">
        <v>172</v>
      </c>
    </row>
    <row r="131" spans="1:7" x14ac:dyDescent="0.25">
      <c r="A131" t="s">
        <v>141</v>
      </c>
      <c r="B131">
        <v>32</v>
      </c>
      <c r="C131" t="s">
        <v>17</v>
      </c>
      <c r="D131" t="s">
        <v>11</v>
      </c>
      <c r="E131" t="str">
        <f t="shared" si="4"/>
        <v>Lost_demand_drivers32</v>
      </c>
      <c r="G131" t="s">
        <v>173</v>
      </c>
    </row>
    <row r="132" spans="1:7" x14ac:dyDescent="0.25">
      <c r="A132" t="s">
        <v>141</v>
      </c>
      <c r="B132">
        <v>33</v>
      </c>
      <c r="C132" t="s">
        <v>17</v>
      </c>
      <c r="D132" t="s">
        <v>11</v>
      </c>
      <c r="E132" t="str">
        <f t="shared" si="4"/>
        <v>Lost_demand_drivers33</v>
      </c>
      <c r="G132" t="s">
        <v>174</v>
      </c>
    </row>
    <row r="133" spans="1:7" x14ac:dyDescent="0.25">
      <c r="A133" t="s">
        <v>141</v>
      </c>
      <c r="B133">
        <v>34</v>
      </c>
      <c r="C133" t="s">
        <v>17</v>
      </c>
      <c r="D133" t="s">
        <v>11</v>
      </c>
      <c r="E133" t="str">
        <f t="shared" si="4"/>
        <v>Lost_demand_drivers34</v>
      </c>
      <c r="G133" t="s">
        <v>175</v>
      </c>
    </row>
    <row r="134" spans="1:7" x14ac:dyDescent="0.25">
      <c r="A134" t="s">
        <v>141</v>
      </c>
      <c r="B134">
        <v>35</v>
      </c>
      <c r="C134" t="s">
        <v>17</v>
      </c>
      <c r="D134" t="s">
        <v>11</v>
      </c>
      <c r="E134" t="str">
        <f t="shared" si="4"/>
        <v>Lost_demand_drivers35</v>
      </c>
      <c r="G134" t="s">
        <v>176</v>
      </c>
    </row>
    <row r="135" spans="1:7" x14ac:dyDescent="0.25">
      <c r="A135" t="s">
        <v>141</v>
      </c>
      <c r="B135">
        <v>36</v>
      </c>
      <c r="C135" t="s">
        <v>17</v>
      </c>
      <c r="D135" t="s">
        <v>11</v>
      </c>
      <c r="E135" t="str">
        <f t="shared" si="4"/>
        <v>Lost_demand_drivers36</v>
      </c>
      <c r="G135" t="s">
        <v>177</v>
      </c>
    </row>
    <row r="136" spans="1:7" x14ac:dyDescent="0.25">
      <c r="A136" t="s">
        <v>178</v>
      </c>
      <c r="B136">
        <v>1</v>
      </c>
      <c r="C136" t="s">
        <v>17</v>
      </c>
      <c r="D136" t="s">
        <v>11</v>
      </c>
      <c r="E136" t="str">
        <f t="shared" ref="E136:E145" si="5">"Marketing_influence"&amp;B136</f>
        <v>Marketing_influence1</v>
      </c>
      <c r="G136" t="s">
        <v>179</v>
      </c>
    </row>
    <row r="137" spans="1:7" x14ac:dyDescent="0.25">
      <c r="A137" t="s">
        <v>178</v>
      </c>
      <c r="B137">
        <v>2</v>
      </c>
      <c r="C137" t="s">
        <v>17</v>
      </c>
      <c r="D137" t="s">
        <v>11</v>
      </c>
      <c r="E137" t="str">
        <f t="shared" si="5"/>
        <v>Marketing_influence2</v>
      </c>
      <c r="G137" t="s">
        <v>180</v>
      </c>
    </row>
    <row r="138" spans="1:7" x14ac:dyDescent="0.25">
      <c r="A138" t="s">
        <v>178</v>
      </c>
      <c r="B138">
        <v>3</v>
      </c>
      <c r="C138" t="s">
        <v>17</v>
      </c>
      <c r="D138" t="s">
        <v>11</v>
      </c>
      <c r="E138" t="str">
        <f t="shared" si="5"/>
        <v>Marketing_influence3</v>
      </c>
      <c r="G138" t="s">
        <v>181</v>
      </c>
    </row>
    <row r="139" spans="1:7" x14ac:dyDescent="0.25">
      <c r="A139" t="s">
        <v>178</v>
      </c>
      <c r="B139">
        <v>4</v>
      </c>
      <c r="C139" t="s">
        <v>17</v>
      </c>
      <c r="D139" t="s">
        <v>11</v>
      </c>
      <c r="E139" t="str">
        <f t="shared" si="5"/>
        <v>Marketing_influence4</v>
      </c>
      <c r="G139" t="s">
        <v>182</v>
      </c>
    </row>
    <row r="140" spans="1:7" x14ac:dyDescent="0.25">
      <c r="A140" t="s">
        <v>178</v>
      </c>
      <c r="B140">
        <v>5</v>
      </c>
      <c r="C140" t="s">
        <v>17</v>
      </c>
      <c r="D140" t="s">
        <v>11</v>
      </c>
      <c r="E140" t="str">
        <f t="shared" si="5"/>
        <v>Marketing_influence5</v>
      </c>
      <c r="G140" t="s">
        <v>183</v>
      </c>
    </row>
    <row r="141" spans="1:7" x14ac:dyDescent="0.25">
      <c r="A141" t="s">
        <v>178</v>
      </c>
      <c r="B141">
        <v>6</v>
      </c>
      <c r="C141" t="s">
        <v>17</v>
      </c>
      <c r="D141" t="s">
        <v>11</v>
      </c>
      <c r="E141" t="str">
        <f t="shared" si="5"/>
        <v>Marketing_influence6</v>
      </c>
      <c r="G141" t="s">
        <v>184</v>
      </c>
    </row>
    <row r="142" spans="1:7" x14ac:dyDescent="0.25">
      <c r="A142" t="s">
        <v>178</v>
      </c>
      <c r="B142">
        <v>7</v>
      </c>
      <c r="C142" t="s">
        <v>17</v>
      </c>
      <c r="D142" t="s">
        <v>11</v>
      </c>
      <c r="E142" t="str">
        <f t="shared" si="5"/>
        <v>Marketing_influence7</v>
      </c>
      <c r="G142" t="s">
        <v>185</v>
      </c>
    </row>
    <row r="143" spans="1:7" x14ac:dyDescent="0.25">
      <c r="A143" t="s">
        <v>178</v>
      </c>
      <c r="B143">
        <v>8</v>
      </c>
      <c r="C143" t="s">
        <v>17</v>
      </c>
      <c r="D143" t="s">
        <v>11</v>
      </c>
      <c r="E143" t="str">
        <f t="shared" si="5"/>
        <v>Marketing_influence8</v>
      </c>
      <c r="G143" t="s">
        <v>186</v>
      </c>
    </row>
    <row r="144" spans="1:7" x14ac:dyDescent="0.25">
      <c r="A144" t="s">
        <v>178</v>
      </c>
      <c r="B144">
        <v>9</v>
      </c>
      <c r="C144" t="s">
        <v>17</v>
      </c>
      <c r="D144" t="s">
        <v>11</v>
      </c>
      <c r="E144" t="str">
        <f t="shared" si="5"/>
        <v>Marketing_influence9</v>
      </c>
      <c r="G144" t="s">
        <v>187</v>
      </c>
    </row>
    <row r="145" spans="1:7" x14ac:dyDescent="0.25">
      <c r="A145" t="s">
        <v>178</v>
      </c>
      <c r="B145">
        <v>10</v>
      </c>
      <c r="C145" t="s">
        <v>17</v>
      </c>
      <c r="D145" t="s">
        <v>11</v>
      </c>
      <c r="E145" t="str">
        <f t="shared" si="5"/>
        <v>Marketing_influence10</v>
      </c>
      <c r="G145" t="s">
        <v>188</v>
      </c>
    </row>
    <row r="146" spans="1:7" x14ac:dyDescent="0.25">
      <c r="A146" t="s">
        <v>189</v>
      </c>
      <c r="C146" t="s">
        <v>10</v>
      </c>
      <c r="D146" t="s">
        <v>11</v>
      </c>
      <c r="E146" t="s">
        <v>189</v>
      </c>
      <c r="G146" t="s">
        <v>14</v>
      </c>
    </row>
    <row r="147" spans="1:7" x14ac:dyDescent="0.25">
      <c r="A147" t="s">
        <v>190</v>
      </c>
      <c r="C147" t="s">
        <v>10</v>
      </c>
      <c r="D147" t="s">
        <v>11</v>
      </c>
      <c r="E147" t="s">
        <v>190</v>
      </c>
      <c r="G147" t="s">
        <v>14</v>
      </c>
    </row>
    <row r="148" spans="1:7" x14ac:dyDescent="0.25">
      <c r="A148" t="s">
        <v>191</v>
      </c>
      <c r="B148">
        <v>1</v>
      </c>
      <c r="C148" t="s">
        <v>17</v>
      </c>
      <c r="D148" t="s">
        <v>11</v>
      </c>
      <c r="E148" t="str">
        <f>A148&amp;B148</f>
        <v>Number_of_diners_1</v>
      </c>
      <c r="F148" t="s">
        <v>192</v>
      </c>
      <c r="G148" t="s">
        <v>193</v>
      </c>
    </row>
    <row r="149" spans="1:7" x14ac:dyDescent="0.25">
      <c r="A149" t="s">
        <v>191</v>
      </c>
      <c r="B149">
        <v>2</v>
      </c>
      <c r="C149" t="s">
        <v>17</v>
      </c>
      <c r="D149" t="s">
        <v>11</v>
      </c>
      <c r="E149" t="str">
        <f>A149&amp;B149</f>
        <v>Number_of_diners_2</v>
      </c>
      <c r="F149" t="s">
        <v>192</v>
      </c>
      <c r="G149" t="s">
        <v>194</v>
      </c>
    </row>
    <row r="150" spans="1:7" x14ac:dyDescent="0.25">
      <c r="A150" t="s">
        <v>195</v>
      </c>
      <c r="B150">
        <v>1</v>
      </c>
      <c r="C150" t="s">
        <v>17</v>
      </c>
      <c r="D150" t="s">
        <v>11</v>
      </c>
      <c r="E150" t="str">
        <f t="shared" ref="E150:E166" si="6">"Occasions_association"&amp;B150</f>
        <v>Occasions_association1</v>
      </c>
      <c r="G150" t="s">
        <v>196</v>
      </c>
    </row>
    <row r="151" spans="1:7" x14ac:dyDescent="0.25">
      <c r="A151" t="s">
        <v>195</v>
      </c>
      <c r="B151">
        <v>2</v>
      </c>
      <c r="C151" t="s">
        <v>17</v>
      </c>
      <c r="D151" t="s">
        <v>11</v>
      </c>
      <c r="E151" t="str">
        <f t="shared" si="6"/>
        <v>Occasions_association2</v>
      </c>
      <c r="G151" t="s">
        <v>197</v>
      </c>
    </row>
    <row r="152" spans="1:7" x14ac:dyDescent="0.25">
      <c r="A152" t="s">
        <v>195</v>
      </c>
      <c r="B152">
        <v>3</v>
      </c>
      <c r="C152" t="s">
        <v>17</v>
      </c>
      <c r="D152" t="s">
        <v>11</v>
      </c>
      <c r="E152" t="str">
        <f t="shared" si="6"/>
        <v>Occasions_association3</v>
      </c>
      <c r="G152" t="s">
        <v>198</v>
      </c>
    </row>
    <row r="153" spans="1:7" x14ac:dyDescent="0.25">
      <c r="A153" t="s">
        <v>195</v>
      </c>
      <c r="B153">
        <v>4</v>
      </c>
      <c r="C153" t="s">
        <v>17</v>
      </c>
      <c r="D153" t="s">
        <v>11</v>
      </c>
      <c r="E153" t="str">
        <f t="shared" si="6"/>
        <v>Occasions_association4</v>
      </c>
      <c r="G153" t="s">
        <v>199</v>
      </c>
    </row>
    <row r="154" spans="1:7" x14ac:dyDescent="0.25">
      <c r="A154" t="s">
        <v>195</v>
      </c>
      <c r="B154">
        <v>5</v>
      </c>
      <c r="C154" t="s">
        <v>17</v>
      </c>
      <c r="D154" t="s">
        <v>11</v>
      </c>
      <c r="E154" t="str">
        <f t="shared" si="6"/>
        <v>Occasions_association5</v>
      </c>
      <c r="G154" t="s">
        <v>200</v>
      </c>
    </row>
    <row r="155" spans="1:7" x14ac:dyDescent="0.25">
      <c r="A155" t="s">
        <v>195</v>
      </c>
      <c r="B155">
        <v>6</v>
      </c>
      <c r="C155" t="s">
        <v>17</v>
      </c>
      <c r="D155" t="s">
        <v>11</v>
      </c>
      <c r="E155" t="str">
        <f t="shared" si="6"/>
        <v>Occasions_association6</v>
      </c>
      <c r="G155" t="s">
        <v>201</v>
      </c>
    </row>
    <row r="156" spans="1:7" x14ac:dyDescent="0.25">
      <c r="A156" t="s">
        <v>195</v>
      </c>
      <c r="B156">
        <v>7</v>
      </c>
      <c r="C156" t="s">
        <v>17</v>
      </c>
      <c r="D156" t="s">
        <v>11</v>
      </c>
      <c r="E156" t="str">
        <f t="shared" si="6"/>
        <v>Occasions_association7</v>
      </c>
      <c r="G156" t="s">
        <v>202</v>
      </c>
    </row>
    <row r="157" spans="1:7" x14ac:dyDescent="0.25">
      <c r="A157" t="s">
        <v>195</v>
      </c>
      <c r="B157">
        <v>8</v>
      </c>
      <c r="C157" t="s">
        <v>17</v>
      </c>
      <c r="D157" t="s">
        <v>11</v>
      </c>
      <c r="E157" t="str">
        <f t="shared" si="6"/>
        <v>Occasions_association8</v>
      </c>
      <c r="G157" t="s">
        <v>203</v>
      </c>
    </row>
    <row r="158" spans="1:7" x14ac:dyDescent="0.25">
      <c r="A158" t="s">
        <v>195</v>
      </c>
      <c r="B158">
        <v>9</v>
      </c>
      <c r="C158" t="s">
        <v>17</v>
      </c>
      <c r="D158" t="s">
        <v>11</v>
      </c>
      <c r="E158" t="str">
        <f t="shared" si="6"/>
        <v>Occasions_association9</v>
      </c>
      <c r="G158" t="s">
        <v>204</v>
      </c>
    </row>
    <row r="159" spans="1:7" x14ac:dyDescent="0.25">
      <c r="A159" t="s">
        <v>195</v>
      </c>
      <c r="B159">
        <v>10</v>
      </c>
      <c r="C159" t="s">
        <v>17</v>
      </c>
      <c r="D159" t="s">
        <v>11</v>
      </c>
      <c r="E159" t="str">
        <f t="shared" si="6"/>
        <v>Occasions_association10</v>
      </c>
      <c r="G159" t="s">
        <v>205</v>
      </c>
    </row>
    <row r="160" spans="1:7" x14ac:dyDescent="0.25">
      <c r="A160" t="s">
        <v>195</v>
      </c>
      <c r="B160">
        <v>11</v>
      </c>
      <c r="C160" t="s">
        <v>17</v>
      </c>
      <c r="D160" t="s">
        <v>11</v>
      </c>
      <c r="E160" t="str">
        <f t="shared" si="6"/>
        <v>Occasions_association11</v>
      </c>
      <c r="G160" t="s">
        <v>206</v>
      </c>
    </row>
    <row r="161" spans="1:7" x14ac:dyDescent="0.25">
      <c r="A161" t="s">
        <v>195</v>
      </c>
      <c r="B161">
        <v>12</v>
      </c>
      <c r="C161" t="s">
        <v>17</v>
      </c>
      <c r="D161" t="s">
        <v>11</v>
      </c>
      <c r="E161" t="str">
        <f t="shared" si="6"/>
        <v>Occasions_association12</v>
      </c>
      <c r="G161" t="s">
        <v>207</v>
      </c>
    </row>
    <row r="162" spans="1:7" x14ac:dyDescent="0.25">
      <c r="A162" t="s">
        <v>195</v>
      </c>
      <c r="B162">
        <v>13</v>
      </c>
      <c r="C162" t="s">
        <v>17</v>
      </c>
      <c r="D162" t="s">
        <v>11</v>
      </c>
      <c r="E162" t="str">
        <f t="shared" si="6"/>
        <v>Occasions_association13</v>
      </c>
      <c r="G162" t="s">
        <v>208</v>
      </c>
    </row>
    <row r="163" spans="1:7" x14ac:dyDescent="0.25">
      <c r="A163" t="s">
        <v>195</v>
      </c>
      <c r="B163">
        <v>14</v>
      </c>
      <c r="C163" t="s">
        <v>17</v>
      </c>
      <c r="D163" t="s">
        <v>11</v>
      </c>
      <c r="E163" t="str">
        <f t="shared" si="6"/>
        <v>Occasions_association14</v>
      </c>
      <c r="G163" t="s">
        <v>209</v>
      </c>
    </row>
    <row r="164" spans="1:7" x14ac:dyDescent="0.25">
      <c r="A164" t="s">
        <v>195</v>
      </c>
      <c r="B164">
        <v>15</v>
      </c>
      <c r="C164" t="s">
        <v>17</v>
      </c>
      <c r="D164" t="s">
        <v>11</v>
      </c>
      <c r="E164" t="str">
        <f t="shared" si="6"/>
        <v>Occasions_association15</v>
      </c>
      <c r="G164" t="s">
        <v>210</v>
      </c>
    </row>
    <row r="165" spans="1:7" x14ac:dyDescent="0.25">
      <c r="A165" t="s">
        <v>195</v>
      </c>
      <c r="B165">
        <v>16</v>
      </c>
      <c r="C165" t="s">
        <v>17</v>
      </c>
      <c r="D165" t="s">
        <v>11</v>
      </c>
      <c r="E165" t="str">
        <f t="shared" si="6"/>
        <v>Occasions_association16</v>
      </c>
      <c r="G165" t="s">
        <v>211</v>
      </c>
    </row>
    <row r="166" spans="1:7" x14ac:dyDescent="0.25">
      <c r="A166" t="s">
        <v>195</v>
      </c>
      <c r="B166">
        <v>17</v>
      </c>
      <c r="C166" t="s">
        <v>17</v>
      </c>
      <c r="D166" t="s">
        <v>11</v>
      </c>
      <c r="E166" t="str">
        <f t="shared" si="6"/>
        <v>Occasions_association17</v>
      </c>
      <c r="G166" t="s">
        <v>212</v>
      </c>
    </row>
    <row r="167" spans="1:7" x14ac:dyDescent="0.25">
      <c r="A167" t="s">
        <v>213</v>
      </c>
      <c r="C167" t="s">
        <v>17</v>
      </c>
      <c r="D167" t="s">
        <v>18</v>
      </c>
      <c r="E167" t="s">
        <v>214</v>
      </c>
      <c r="F167" t="s">
        <v>215</v>
      </c>
      <c r="G167" t="s">
        <v>14</v>
      </c>
    </row>
    <row r="168" spans="1:7" x14ac:dyDescent="0.25">
      <c r="A168" t="s">
        <v>216</v>
      </c>
      <c r="C168" t="s">
        <v>10</v>
      </c>
      <c r="D168" t="s">
        <v>11</v>
      </c>
      <c r="E168" t="s">
        <v>216</v>
      </c>
      <c r="G168" t="s">
        <v>14</v>
      </c>
    </row>
    <row r="169" spans="1:7" x14ac:dyDescent="0.25">
      <c r="A169" t="s">
        <v>217</v>
      </c>
      <c r="C169" t="s">
        <v>17</v>
      </c>
      <c r="D169" t="s">
        <v>18</v>
      </c>
      <c r="E169" t="s">
        <v>218</v>
      </c>
      <c r="F169" t="s">
        <v>219</v>
      </c>
      <c r="G169" t="s">
        <v>14</v>
      </c>
    </row>
    <row r="170" spans="1:7" x14ac:dyDescent="0.25">
      <c r="A170" t="s">
        <v>220</v>
      </c>
      <c r="C170" t="s">
        <v>10</v>
      </c>
      <c r="D170" t="s">
        <v>11</v>
      </c>
      <c r="E170" t="s">
        <v>220</v>
      </c>
      <c r="F170" t="s">
        <v>221</v>
      </c>
      <c r="G170" t="s">
        <v>14</v>
      </c>
    </row>
    <row r="171" spans="1:7" x14ac:dyDescent="0.25">
      <c r="A171" t="s">
        <v>222</v>
      </c>
      <c r="C171" t="s">
        <v>17</v>
      </c>
      <c r="D171" t="s">
        <v>18</v>
      </c>
      <c r="E171" t="s">
        <v>223</v>
      </c>
      <c r="F171" t="s">
        <v>221</v>
      </c>
      <c r="G171" t="s">
        <v>14</v>
      </c>
    </row>
    <row r="172" spans="1:7" x14ac:dyDescent="0.25">
      <c r="A172" t="s">
        <v>224</v>
      </c>
      <c r="B172">
        <v>1</v>
      </c>
      <c r="C172" t="s">
        <v>17</v>
      </c>
      <c r="D172" t="s">
        <v>11</v>
      </c>
      <c r="E172" t="str">
        <f t="shared" ref="E172:E208" si="7">"Reasons_for_choosing"&amp;B172</f>
        <v>Reasons_for_choosing1</v>
      </c>
      <c r="G172" t="s">
        <v>225</v>
      </c>
    </row>
    <row r="173" spans="1:7" x14ac:dyDescent="0.25">
      <c r="A173" t="s">
        <v>224</v>
      </c>
      <c r="B173">
        <v>2</v>
      </c>
      <c r="C173" t="s">
        <v>17</v>
      </c>
      <c r="D173" t="s">
        <v>11</v>
      </c>
      <c r="E173" t="str">
        <f t="shared" si="7"/>
        <v>Reasons_for_choosing2</v>
      </c>
      <c r="G173" t="s">
        <v>226</v>
      </c>
    </row>
    <row r="174" spans="1:7" x14ac:dyDescent="0.25">
      <c r="A174" t="s">
        <v>224</v>
      </c>
      <c r="B174">
        <v>3</v>
      </c>
      <c r="C174" t="s">
        <v>17</v>
      </c>
      <c r="D174" t="s">
        <v>11</v>
      </c>
      <c r="E174" t="str">
        <f t="shared" si="7"/>
        <v>Reasons_for_choosing3</v>
      </c>
      <c r="G174" t="s">
        <v>227</v>
      </c>
    </row>
    <row r="175" spans="1:7" x14ac:dyDescent="0.25">
      <c r="A175" t="s">
        <v>224</v>
      </c>
      <c r="B175">
        <v>4</v>
      </c>
      <c r="C175" t="s">
        <v>17</v>
      </c>
      <c r="D175" t="s">
        <v>11</v>
      </c>
      <c r="E175" t="str">
        <f t="shared" si="7"/>
        <v>Reasons_for_choosing4</v>
      </c>
      <c r="G175" t="s">
        <v>228</v>
      </c>
    </row>
    <row r="176" spans="1:7" x14ac:dyDescent="0.25">
      <c r="A176" t="s">
        <v>224</v>
      </c>
      <c r="B176">
        <v>5</v>
      </c>
      <c r="C176" t="s">
        <v>17</v>
      </c>
      <c r="D176" t="s">
        <v>11</v>
      </c>
      <c r="E176" t="str">
        <f t="shared" si="7"/>
        <v>Reasons_for_choosing5</v>
      </c>
      <c r="G176" t="s">
        <v>229</v>
      </c>
    </row>
    <row r="177" spans="1:7" x14ac:dyDescent="0.25">
      <c r="A177" t="s">
        <v>224</v>
      </c>
      <c r="B177">
        <v>6</v>
      </c>
      <c r="C177" t="s">
        <v>17</v>
      </c>
      <c r="D177" t="s">
        <v>11</v>
      </c>
      <c r="E177" t="str">
        <f t="shared" si="7"/>
        <v>Reasons_for_choosing6</v>
      </c>
      <c r="G177" t="s">
        <v>230</v>
      </c>
    </row>
    <row r="178" spans="1:7" x14ac:dyDescent="0.25">
      <c r="A178" t="s">
        <v>224</v>
      </c>
      <c r="B178">
        <v>7</v>
      </c>
      <c r="C178" t="s">
        <v>17</v>
      </c>
      <c r="D178" t="s">
        <v>11</v>
      </c>
      <c r="E178" t="str">
        <f t="shared" si="7"/>
        <v>Reasons_for_choosing7</v>
      </c>
      <c r="G178" t="s">
        <v>231</v>
      </c>
    </row>
    <row r="179" spans="1:7" x14ac:dyDescent="0.25">
      <c r="A179" t="s">
        <v>224</v>
      </c>
      <c r="B179">
        <v>8</v>
      </c>
      <c r="C179" t="s">
        <v>17</v>
      </c>
      <c r="D179" t="s">
        <v>11</v>
      </c>
      <c r="E179" t="str">
        <f t="shared" si="7"/>
        <v>Reasons_for_choosing8</v>
      </c>
      <c r="G179" t="s">
        <v>232</v>
      </c>
    </row>
    <row r="180" spans="1:7" x14ac:dyDescent="0.25">
      <c r="A180" t="s">
        <v>224</v>
      </c>
      <c r="B180">
        <v>9</v>
      </c>
      <c r="C180" t="s">
        <v>17</v>
      </c>
      <c r="D180" t="s">
        <v>11</v>
      </c>
      <c r="E180" t="str">
        <f t="shared" si="7"/>
        <v>Reasons_for_choosing9</v>
      </c>
      <c r="G180" t="s">
        <v>233</v>
      </c>
    </row>
    <row r="181" spans="1:7" x14ac:dyDescent="0.25">
      <c r="A181" t="s">
        <v>224</v>
      </c>
      <c r="B181">
        <v>10</v>
      </c>
      <c r="C181" t="s">
        <v>17</v>
      </c>
      <c r="D181" t="s">
        <v>11</v>
      </c>
      <c r="E181" t="str">
        <f t="shared" si="7"/>
        <v>Reasons_for_choosing10</v>
      </c>
      <c r="G181" t="s">
        <v>234</v>
      </c>
    </row>
    <row r="182" spans="1:7" x14ac:dyDescent="0.25">
      <c r="A182" t="s">
        <v>224</v>
      </c>
      <c r="B182">
        <v>11</v>
      </c>
      <c r="C182" t="s">
        <v>17</v>
      </c>
      <c r="D182" t="s">
        <v>11</v>
      </c>
      <c r="E182" t="str">
        <f t="shared" si="7"/>
        <v>Reasons_for_choosing11</v>
      </c>
      <c r="G182" t="s">
        <v>235</v>
      </c>
    </row>
    <row r="183" spans="1:7" x14ac:dyDescent="0.25">
      <c r="A183" t="s">
        <v>224</v>
      </c>
      <c r="B183">
        <v>12</v>
      </c>
      <c r="C183" t="s">
        <v>17</v>
      </c>
      <c r="D183" t="s">
        <v>11</v>
      </c>
      <c r="E183" t="str">
        <f t="shared" si="7"/>
        <v>Reasons_for_choosing12</v>
      </c>
      <c r="G183" t="s">
        <v>236</v>
      </c>
    </row>
    <row r="184" spans="1:7" x14ac:dyDescent="0.25">
      <c r="A184" t="s">
        <v>224</v>
      </c>
      <c r="B184">
        <v>13</v>
      </c>
      <c r="C184" t="s">
        <v>17</v>
      </c>
      <c r="D184" t="s">
        <v>11</v>
      </c>
      <c r="E184" t="str">
        <f t="shared" si="7"/>
        <v>Reasons_for_choosing13</v>
      </c>
      <c r="G184" t="s">
        <v>237</v>
      </c>
    </row>
    <row r="185" spans="1:7" x14ac:dyDescent="0.25">
      <c r="A185" t="s">
        <v>224</v>
      </c>
      <c r="B185">
        <v>14</v>
      </c>
      <c r="C185" t="s">
        <v>17</v>
      </c>
      <c r="D185" t="s">
        <v>11</v>
      </c>
      <c r="E185" t="str">
        <f t="shared" si="7"/>
        <v>Reasons_for_choosing14</v>
      </c>
      <c r="G185" t="s">
        <v>238</v>
      </c>
    </row>
    <row r="186" spans="1:7" x14ac:dyDescent="0.25">
      <c r="A186" t="s">
        <v>224</v>
      </c>
      <c r="B186">
        <v>15</v>
      </c>
      <c r="C186" t="s">
        <v>17</v>
      </c>
      <c r="D186" t="s">
        <v>11</v>
      </c>
      <c r="E186" t="str">
        <f t="shared" si="7"/>
        <v>Reasons_for_choosing15</v>
      </c>
      <c r="G186" t="s">
        <v>239</v>
      </c>
    </row>
    <row r="187" spans="1:7" x14ac:dyDescent="0.25">
      <c r="A187" t="s">
        <v>224</v>
      </c>
      <c r="B187">
        <v>16</v>
      </c>
      <c r="C187" t="s">
        <v>17</v>
      </c>
      <c r="D187" t="s">
        <v>11</v>
      </c>
      <c r="E187" t="str">
        <f t="shared" si="7"/>
        <v>Reasons_for_choosing16</v>
      </c>
      <c r="G187" t="s">
        <v>240</v>
      </c>
    </row>
    <row r="188" spans="1:7" x14ac:dyDescent="0.25">
      <c r="A188" t="s">
        <v>224</v>
      </c>
      <c r="B188">
        <v>17</v>
      </c>
      <c r="C188" t="s">
        <v>17</v>
      </c>
      <c r="D188" t="s">
        <v>11</v>
      </c>
      <c r="E188" t="str">
        <f t="shared" si="7"/>
        <v>Reasons_for_choosing17</v>
      </c>
      <c r="G188" t="s">
        <v>241</v>
      </c>
    </row>
    <row r="189" spans="1:7" x14ac:dyDescent="0.25">
      <c r="A189" t="s">
        <v>224</v>
      </c>
      <c r="B189">
        <v>18</v>
      </c>
      <c r="C189" t="s">
        <v>17</v>
      </c>
      <c r="D189" t="s">
        <v>11</v>
      </c>
      <c r="E189" t="str">
        <f t="shared" si="7"/>
        <v>Reasons_for_choosing18</v>
      </c>
      <c r="G189" t="s">
        <v>242</v>
      </c>
    </row>
    <row r="190" spans="1:7" x14ac:dyDescent="0.25">
      <c r="A190" t="s">
        <v>224</v>
      </c>
      <c r="B190">
        <v>19</v>
      </c>
      <c r="C190" t="s">
        <v>17</v>
      </c>
      <c r="D190" t="s">
        <v>11</v>
      </c>
      <c r="E190" t="str">
        <f t="shared" si="7"/>
        <v>Reasons_for_choosing19</v>
      </c>
      <c r="G190" t="s">
        <v>243</v>
      </c>
    </row>
    <row r="191" spans="1:7" x14ac:dyDescent="0.25">
      <c r="A191" t="s">
        <v>224</v>
      </c>
      <c r="B191">
        <v>20</v>
      </c>
      <c r="C191" t="s">
        <v>17</v>
      </c>
      <c r="D191" t="s">
        <v>11</v>
      </c>
      <c r="E191" t="str">
        <f t="shared" si="7"/>
        <v>Reasons_for_choosing20</v>
      </c>
      <c r="G191" t="s">
        <v>244</v>
      </c>
    </row>
    <row r="192" spans="1:7" x14ac:dyDescent="0.25">
      <c r="A192" t="s">
        <v>224</v>
      </c>
      <c r="B192">
        <v>21</v>
      </c>
      <c r="C192" t="s">
        <v>17</v>
      </c>
      <c r="D192" t="s">
        <v>11</v>
      </c>
      <c r="E192" t="str">
        <f t="shared" si="7"/>
        <v>Reasons_for_choosing21</v>
      </c>
      <c r="G192" t="s">
        <v>245</v>
      </c>
    </row>
    <row r="193" spans="1:7" x14ac:dyDescent="0.25">
      <c r="A193" t="s">
        <v>224</v>
      </c>
      <c r="B193">
        <v>22</v>
      </c>
      <c r="C193" t="s">
        <v>17</v>
      </c>
      <c r="D193" t="s">
        <v>11</v>
      </c>
      <c r="E193" t="str">
        <f t="shared" si="7"/>
        <v>Reasons_for_choosing22</v>
      </c>
      <c r="G193" t="s">
        <v>246</v>
      </c>
    </row>
    <row r="194" spans="1:7" x14ac:dyDescent="0.25">
      <c r="A194" t="s">
        <v>224</v>
      </c>
      <c r="B194">
        <v>23</v>
      </c>
      <c r="C194" t="s">
        <v>17</v>
      </c>
      <c r="D194" t="s">
        <v>11</v>
      </c>
      <c r="E194" t="str">
        <f t="shared" si="7"/>
        <v>Reasons_for_choosing23</v>
      </c>
      <c r="G194" t="s">
        <v>247</v>
      </c>
    </row>
    <row r="195" spans="1:7" x14ac:dyDescent="0.25">
      <c r="A195" t="s">
        <v>224</v>
      </c>
      <c r="B195">
        <v>24</v>
      </c>
      <c r="C195" t="s">
        <v>17</v>
      </c>
      <c r="D195" t="s">
        <v>11</v>
      </c>
      <c r="E195" t="str">
        <f t="shared" si="7"/>
        <v>Reasons_for_choosing24</v>
      </c>
      <c r="G195" t="s">
        <v>248</v>
      </c>
    </row>
    <row r="196" spans="1:7" x14ac:dyDescent="0.25">
      <c r="A196" t="s">
        <v>224</v>
      </c>
      <c r="B196">
        <v>25</v>
      </c>
      <c r="C196" t="s">
        <v>17</v>
      </c>
      <c r="D196" t="s">
        <v>11</v>
      </c>
      <c r="E196" t="str">
        <f t="shared" si="7"/>
        <v>Reasons_for_choosing25</v>
      </c>
      <c r="G196" t="s">
        <v>249</v>
      </c>
    </row>
    <row r="197" spans="1:7" x14ac:dyDescent="0.25">
      <c r="A197" t="s">
        <v>224</v>
      </c>
      <c r="B197">
        <v>26</v>
      </c>
      <c r="C197" t="s">
        <v>17</v>
      </c>
      <c r="D197" t="s">
        <v>11</v>
      </c>
      <c r="E197" t="str">
        <f t="shared" si="7"/>
        <v>Reasons_for_choosing26</v>
      </c>
      <c r="G197" t="s">
        <v>250</v>
      </c>
    </row>
    <row r="198" spans="1:7" x14ac:dyDescent="0.25">
      <c r="A198" t="s">
        <v>224</v>
      </c>
      <c r="B198">
        <v>27</v>
      </c>
      <c r="C198" t="s">
        <v>17</v>
      </c>
      <c r="D198" t="s">
        <v>11</v>
      </c>
      <c r="E198" t="str">
        <f t="shared" si="7"/>
        <v>Reasons_for_choosing27</v>
      </c>
      <c r="G198" t="s">
        <v>251</v>
      </c>
    </row>
    <row r="199" spans="1:7" x14ac:dyDescent="0.25">
      <c r="A199" t="s">
        <v>224</v>
      </c>
      <c r="B199">
        <v>28</v>
      </c>
      <c r="C199" t="s">
        <v>17</v>
      </c>
      <c r="D199" t="s">
        <v>11</v>
      </c>
      <c r="E199" t="str">
        <f t="shared" si="7"/>
        <v>Reasons_for_choosing28</v>
      </c>
      <c r="G199" t="s">
        <v>252</v>
      </c>
    </row>
    <row r="200" spans="1:7" x14ac:dyDescent="0.25">
      <c r="A200" t="s">
        <v>224</v>
      </c>
      <c r="B200">
        <v>29</v>
      </c>
      <c r="C200" t="s">
        <v>17</v>
      </c>
      <c r="D200" t="s">
        <v>11</v>
      </c>
      <c r="E200" t="str">
        <f t="shared" si="7"/>
        <v>Reasons_for_choosing29</v>
      </c>
      <c r="G200" t="s">
        <v>253</v>
      </c>
    </row>
    <row r="201" spans="1:7" x14ac:dyDescent="0.25">
      <c r="A201" t="s">
        <v>224</v>
      </c>
      <c r="B201">
        <v>30</v>
      </c>
      <c r="C201" t="s">
        <v>17</v>
      </c>
      <c r="D201" t="s">
        <v>11</v>
      </c>
      <c r="E201" t="str">
        <f t="shared" si="7"/>
        <v>Reasons_for_choosing30</v>
      </c>
      <c r="G201" t="s">
        <v>254</v>
      </c>
    </row>
    <row r="202" spans="1:7" x14ac:dyDescent="0.25">
      <c r="A202" t="s">
        <v>224</v>
      </c>
      <c r="B202">
        <v>31</v>
      </c>
      <c r="C202" t="s">
        <v>17</v>
      </c>
      <c r="D202" t="s">
        <v>11</v>
      </c>
      <c r="E202" t="str">
        <f t="shared" si="7"/>
        <v>Reasons_for_choosing31</v>
      </c>
      <c r="G202" t="s">
        <v>255</v>
      </c>
    </row>
    <row r="203" spans="1:7" x14ac:dyDescent="0.25">
      <c r="A203" t="s">
        <v>224</v>
      </c>
      <c r="B203">
        <v>32</v>
      </c>
      <c r="C203" t="s">
        <v>17</v>
      </c>
      <c r="D203" t="s">
        <v>11</v>
      </c>
      <c r="E203" t="str">
        <f t="shared" si="7"/>
        <v>Reasons_for_choosing32</v>
      </c>
      <c r="G203" t="s">
        <v>256</v>
      </c>
    </row>
    <row r="204" spans="1:7" x14ac:dyDescent="0.25">
      <c r="A204" t="s">
        <v>224</v>
      </c>
      <c r="B204">
        <v>33</v>
      </c>
      <c r="C204" t="s">
        <v>17</v>
      </c>
      <c r="D204" t="s">
        <v>11</v>
      </c>
      <c r="E204" t="str">
        <f t="shared" si="7"/>
        <v>Reasons_for_choosing33</v>
      </c>
      <c r="G204" t="s">
        <v>257</v>
      </c>
    </row>
    <row r="205" spans="1:7" x14ac:dyDescent="0.25">
      <c r="A205" t="s">
        <v>224</v>
      </c>
      <c r="B205">
        <v>34</v>
      </c>
      <c r="C205" t="s">
        <v>17</v>
      </c>
      <c r="D205" t="s">
        <v>11</v>
      </c>
      <c r="E205" t="str">
        <f t="shared" si="7"/>
        <v>Reasons_for_choosing34</v>
      </c>
      <c r="G205" t="s">
        <v>258</v>
      </c>
    </row>
    <row r="206" spans="1:7" x14ac:dyDescent="0.25">
      <c r="A206" t="s">
        <v>224</v>
      </c>
      <c r="B206">
        <v>35</v>
      </c>
      <c r="C206" t="s">
        <v>17</v>
      </c>
      <c r="D206" t="s">
        <v>11</v>
      </c>
      <c r="E206" t="str">
        <f t="shared" si="7"/>
        <v>Reasons_for_choosing35</v>
      </c>
      <c r="G206" t="s">
        <v>259</v>
      </c>
    </row>
    <row r="207" spans="1:7" x14ac:dyDescent="0.25">
      <c r="A207" t="s">
        <v>224</v>
      </c>
      <c r="B207">
        <v>36</v>
      </c>
      <c r="C207" t="s">
        <v>17</v>
      </c>
      <c r="D207" t="s">
        <v>11</v>
      </c>
      <c r="E207" t="str">
        <f t="shared" si="7"/>
        <v>Reasons_for_choosing36</v>
      </c>
      <c r="G207" t="s">
        <v>260</v>
      </c>
    </row>
    <row r="208" spans="1:7" x14ac:dyDescent="0.25">
      <c r="A208" t="s">
        <v>224</v>
      </c>
      <c r="B208">
        <v>37</v>
      </c>
      <c r="C208" t="s">
        <v>17</v>
      </c>
      <c r="D208" t="s">
        <v>11</v>
      </c>
      <c r="E208" t="str">
        <f t="shared" si="7"/>
        <v>Reasons_for_choosing37</v>
      </c>
      <c r="G208" t="s">
        <v>261</v>
      </c>
    </row>
    <row r="209" spans="1:7" x14ac:dyDescent="0.25">
      <c r="A209" t="s">
        <v>262</v>
      </c>
      <c r="C209" t="s">
        <v>10</v>
      </c>
      <c r="D209" t="s">
        <v>11</v>
      </c>
      <c r="E209" t="s">
        <v>262</v>
      </c>
      <c r="F209" t="s">
        <v>192</v>
      </c>
      <c r="G209" t="s">
        <v>14</v>
      </c>
    </row>
    <row r="210" spans="1:7" x14ac:dyDescent="0.25">
      <c r="A210" t="s">
        <v>263</v>
      </c>
      <c r="C210" t="s">
        <v>10</v>
      </c>
      <c r="D210" t="s">
        <v>11</v>
      </c>
      <c r="E210" t="s">
        <v>263</v>
      </c>
      <c r="F210" t="s">
        <v>192</v>
      </c>
      <c r="G210" t="s">
        <v>14</v>
      </c>
    </row>
    <row r="211" spans="1:7" x14ac:dyDescent="0.25">
      <c r="A211" t="s">
        <v>264</v>
      </c>
      <c r="C211" t="s">
        <v>17</v>
      </c>
      <c r="D211" t="s">
        <v>11</v>
      </c>
      <c r="E211" t="s">
        <v>265</v>
      </c>
      <c r="G211" t="s">
        <v>14</v>
      </c>
    </row>
    <row r="212" spans="1:7" x14ac:dyDescent="0.25">
      <c r="A212" t="s">
        <v>266</v>
      </c>
      <c r="C212" t="s">
        <v>10</v>
      </c>
      <c r="D212" t="s">
        <v>267</v>
      </c>
      <c r="E212" t="s">
        <v>268</v>
      </c>
      <c r="G212" t="s">
        <v>14</v>
      </c>
    </row>
    <row r="213" spans="1:7" x14ac:dyDescent="0.25">
      <c r="A213" t="s">
        <v>269</v>
      </c>
      <c r="C213" t="s">
        <v>10</v>
      </c>
      <c r="D213" t="s">
        <v>267</v>
      </c>
      <c r="E213" t="s">
        <v>270</v>
      </c>
      <c r="G213" t="s">
        <v>14</v>
      </c>
    </row>
    <row r="214" spans="1:7" x14ac:dyDescent="0.25">
      <c r="A214" t="s">
        <v>271</v>
      </c>
      <c r="C214" t="s">
        <v>10</v>
      </c>
      <c r="D214" t="s">
        <v>267</v>
      </c>
      <c r="E214" t="s">
        <v>272</v>
      </c>
      <c r="G214" t="s">
        <v>14</v>
      </c>
    </row>
    <row r="215" spans="1:7" x14ac:dyDescent="0.25">
      <c r="A215" t="s">
        <v>273</v>
      </c>
      <c r="C215" t="s">
        <v>10</v>
      </c>
      <c r="D215" t="s">
        <v>267</v>
      </c>
      <c r="E215" t="s">
        <v>274</v>
      </c>
      <c r="G215" t="s">
        <v>14</v>
      </c>
    </row>
    <row r="216" spans="1:7" x14ac:dyDescent="0.25">
      <c r="A216" t="s">
        <v>275</v>
      </c>
      <c r="C216" t="s">
        <v>10</v>
      </c>
      <c r="D216" t="s">
        <v>267</v>
      </c>
      <c r="E216" t="s">
        <v>276</v>
      </c>
      <c r="G216" t="s">
        <v>14</v>
      </c>
    </row>
    <row r="217" spans="1:7" x14ac:dyDescent="0.25">
      <c r="A217" t="s">
        <v>277</v>
      </c>
      <c r="C217" t="s">
        <v>17</v>
      </c>
      <c r="D217" t="s">
        <v>18</v>
      </c>
      <c r="E217" t="s">
        <v>278</v>
      </c>
      <c r="F217" t="s">
        <v>279</v>
      </c>
      <c r="G217" t="s">
        <v>14</v>
      </c>
    </row>
    <row r="218" spans="1:7" x14ac:dyDescent="0.25">
      <c r="A218" t="s">
        <v>280</v>
      </c>
      <c r="C218" t="s">
        <v>17</v>
      </c>
      <c r="D218" t="s">
        <v>18</v>
      </c>
      <c r="E218" t="s">
        <v>281</v>
      </c>
      <c r="F218" t="s">
        <v>282</v>
      </c>
      <c r="G218" t="s">
        <v>14</v>
      </c>
    </row>
    <row r="219" spans="1:7" x14ac:dyDescent="0.25">
      <c r="A219" t="s">
        <v>283</v>
      </c>
      <c r="C219" t="s">
        <v>10</v>
      </c>
      <c r="D219" t="s">
        <v>11</v>
      </c>
      <c r="E219" t="s">
        <v>284</v>
      </c>
      <c r="F219" t="s">
        <v>285</v>
      </c>
      <c r="G219" t="s">
        <v>14</v>
      </c>
    </row>
    <row r="220" spans="1:7" x14ac:dyDescent="0.25">
      <c r="A220" t="s">
        <v>286</v>
      </c>
      <c r="C220" t="s">
        <v>17</v>
      </c>
      <c r="D220" t="s">
        <v>18</v>
      </c>
      <c r="E220" t="s">
        <v>287</v>
      </c>
      <c r="F220" t="s">
        <v>288</v>
      </c>
      <c r="G220" t="s">
        <v>14</v>
      </c>
    </row>
    <row r="221" spans="1:7" x14ac:dyDescent="0.25">
      <c r="A221" t="s">
        <v>289</v>
      </c>
      <c r="C221" t="s">
        <v>17</v>
      </c>
      <c r="D221" t="s">
        <v>11</v>
      </c>
      <c r="E221" t="s">
        <v>290</v>
      </c>
      <c r="F221" t="s">
        <v>291</v>
      </c>
      <c r="G221" t="s">
        <v>14</v>
      </c>
    </row>
    <row r="222" spans="1:7" x14ac:dyDescent="0.25">
      <c r="A222" t="s">
        <v>292</v>
      </c>
      <c r="C222" t="s">
        <v>10</v>
      </c>
      <c r="D222" t="s">
        <v>11</v>
      </c>
      <c r="E222" t="s">
        <v>292</v>
      </c>
      <c r="G222" t="s">
        <v>14</v>
      </c>
    </row>
    <row r="223" spans="1:7" x14ac:dyDescent="0.25">
      <c r="A223" t="s">
        <v>293</v>
      </c>
      <c r="C223" t="s">
        <v>10</v>
      </c>
      <c r="D223" t="s">
        <v>11</v>
      </c>
      <c r="E223" t="s">
        <v>293</v>
      </c>
      <c r="G223" t="s">
        <v>14</v>
      </c>
    </row>
    <row r="224" spans="1:7" x14ac:dyDescent="0.25">
      <c r="A224" t="s">
        <v>294</v>
      </c>
      <c r="C224" t="s">
        <v>10</v>
      </c>
      <c r="D224" t="s">
        <v>11</v>
      </c>
      <c r="E224" t="s">
        <v>294</v>
      </c>
      <c r="G224" t="s">
        <v>14</v>
      </c>
    </row>
    <row r="225" spans="1:7" x14ac:dyDescent="0.25">
      <c r="A225" t="s">
        <v>295</v>
      </c>
      <c r="C225" t="s">
        <v>10</v>
      </c>
      <c r="D225" t="s">
        <v>11</v>
      </c>
      <c r="E225" t="s">
        <v>295</v>
      </c>
      <c r="G225" t="s">
        <v>14</v>
      </c>
    </row>
    <row r="226" spans="1:7" x14ac:dyDescent="0.25">
      <c r="A226" t="s">
        <v>296</v>
      </c>
      <c r="C226" t="s">
        <v>10</v>
      </c>
      <c r="D226" t="s">
        <v>11</v>
      </c>
      <c r="E226" t="s">
        <v>296</v>
      </c>
      <c r="G226" t="s">
        <v>14</v>
      </c>
    </row>
    <row r="227" spans="1:7" x14ac:dyDescent="0.25">
      <c r="A227" t="s">
        <v>297</v>
      </c>
      <c r="C227" t="s">
        <v>10</v>
      </c>
      <c r="D227" t="s">
        <v>11</v>
      </c>
      <c r="E227" t="s">
        <v>297</v>
      </c>
      <c r="G227" t="s">
        <v>14</v>
      </c>
    </row>
    <row r="228" spans="1:7" x14ac:dyDescent="0.25">
      <c r="A228" t="s">
        <v>298</v>
      </c>
      <c r="C228" t="s">
        <v>10</v>
      </c>
      <c r="D228" t="s">
        <v>11</v>
      </c>
      <c r="E228" t="s">
        <v>298</v>
      </c>
      <c r="G228" t="s">
        <v>14</v>
      </c>
    </row>
    <row r="229" spans="1:7" x14ac:dyDescent="0.25">
      <c r="A229" t="s">
        <v>875</v>
      </c>
      <c r="C229" t="s">
        <v>10</v>
      </c>
      <c r="D229" t="s">
        <v>11</v>
      </c>
      <c r="E229" t="s">
        <v>875</v>
      </c>
    </row>
    <row r="230" spans="1:7" x14ac:dyDescent="0.25">
      <c r="A230" t="s">
        <v>876</v>
      </c>
      <c r="C230" t="s">
        <v>877</v>
      </c>
      <c r="D230" t="s">
        <v>11</v>
      </c>
      <c r="E230" t="s">
        <v>876</v>
      </c>
    </row>
    <row r="231" spans="1:7" x14ac:dyDescent="0.25">
      <c r="A231" t="s">
        <v>878</v>
      </c>
      <c r="C231" t="s">
        <v>877</v>
      </c>
      <c r="D231" t="s">
        <v>11</v>
      </c>
      <c r="E231" t="s">
        <v>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C505-8FE6-4CE5-A87D-E3182D82CE56}">
  <dimension ref="A1:M449"/>
  <sheetViews>
    <sheetView workbookViewId="0">
      <selection activeCell="N16" sqref="N1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299</v>
      </c>
      <c r="G1" t="s">
        <v>300</v>
      </c>
      <c r="H1" t="s">
        <v>301</v>
      </c>
      <c r="I1" t="s">
        <v>302</v>
      </c>
      <c r="J1" t="s">
        <v>7</v>
      </c>
      <c r="K1" t="s">
        <v>8</v>
      </c>
      <c r="L1" t="s">
        <v>303</v>
      </c>
      <c r="M1" t="s">
        <v>304</v>
      </c>
    </row>
    <row r="2" spans="1:13" x14ac:dyDescent="0.25">
      <c r="A2" t="s">
        <v>305</v>
      </c>
      <c r="C2" t="s">
        <v>306</v>
      </c>
      <c r="D2" t="s">
        <v>305</v>
      </c>
      <c r="E2" t="s">
        <v>307</v>
      </c>
      <c r="I2" t="s">
        <v>308</v>
      </c>
    </row>
    <row r="3" spans="1:13" x14ac:dyDescent="0.25">
      <c r="A3" t="s">
        <v>39</v>
      </c>
      <c r="C3" t="s">
        <v>11</v>
      </c>
      <c r="D3" t="s">
        <v>39</v>
      </c>
      <c r="E3" t="s">
        <v>309</v>
      </c>
      <c r="H3" t="s">
        <v>310</v>
      </c>
      <c r="I3" t="s">
        <v>311</v>
      </c>
    </row>
    <row r="4" spans="1:13" x14ac:dyDescent="0.25">
      <c r="A4" t="s">
        <v>312</v>
      </c>
      <c r="C4" t="s">
        <v>306</v>
      </c>
      <c r="D4" t="s">
        <v>313</v>
      </c>
      <c r="E4" t="s">
        <v>314</v>
      </c>
      <c r="H4" t="s">
        <v>310</v>
      </c>
      <c r="I4" t="s">
        <v>315</v>
      </c>
    </row>
    <row r="5" spans="1:13" x14ac:dyDescent="0.25">
      <c r="A5" t="s">
        <v>316</v>
      </c>
      <c r="C5" t="s">
        <v>306</v>
      </c>
      <c r="D5" t="s">
        <v>316</v>
      </c>
      <c r="E5" t="s">
        <v>317</v>
      </c>
    </row>
    <row r="6" spans="1:13" x14ac:dyDescent="0.25">
      <c r="A6" t="s">
        <v>318</v>
      </c>
      <c r="C6" t="s">
        <v>306</v>
      </c>
      <c r="D6" t="s">
        <v>318</v>
      </c>
      <c r="E6" t="s">
        <v>319</v>
      </c>
    </row>
    <row r="7" spans="1:13" x14ac:dyDescent="0.25">
      <c r="A7" t="s">
        <v>320</v>
      </c>
      <c r="C7" t="s">
        <v>321</v>
      </c>
      <c r="D7" t="s">
        <v>33</v>
      </c>
      <c r="E7" t="s">
        <v>322</v>
      </c>
    </row>
    <row r="8" spans="1:13" x14ac:dyDescent="0.25">
      <c r="A8" t="s">
        <v>323</v>
      </c>
      <c r="C8" t="s">
        <v>321</v>
      </c>
      <c r="D8" t="s">
        <v>324</v>
      </c>
      <c r="E8" t="s">
        <v>325</v>
      </c>
    </row>
    <row r="9" spans="1:13" x14ac:dyDescent="0.25">
      <c r="A9" t="s">
        <v>326</v>
      </c>
      <c r="C9" t="s">
        <v>306</v>
      </c>
      <c r="D9" t="s">
        <v>326</v>
      </c>
      <c r="E9" t="s">
        <v>327</v>
      </c>
      <c r="I9" t="s">
        <v>328</v>
      </c>
    </row>
    <row r="10" spans="1:13" x14ac:dyDescent="0.25">
      <c r="A10" t="s">
        <v>326</v>
      </c>
      <c r="C10" t="s">
        <v>306</v>
      </c>
      <c r="D10" t="s">
        <v>329</v>
      </c>
      <c r="E10" t="s">
        <v>327</v>
      </c>
      <c r="I10" t="s">
        <v>328</v>
      </c>
      <c r="J10" t="s">
        <v>39</v>
      </c>
      <c r="K10" t="s">
        <v>40</v>
      </c>
    </row>
    <row r="11" spans="1:13" x14ac:dyDescent="0.25">
      <c r="A11" t="s">
        <v>326</v>
      </c>
      <c r="C11" t="s">
        <v>306</v>
      </c>
      <c r="D11" t="s">
        <v>330</v>
      </c>
      <c r="E11" t="s">
        <v>327</v>
      </c>
      <c r="I11" t="s">
        <v>328</v>
      </c>
      <c r="J11" t="s">
        <v>39</v>
      </c>
      <c r="K11" t="s">
        <v>42</v>
      </c>
    </row>
    <row r="12" spans="1:13" x14ac:dyDescent="0.25">
      <c r="A12" t="s">
        <v>326</v>
      </c>
      <c r="C12" t="s">
        <v>306</v>
      </c>
      <c r="D12" t="s">
        <v>331</v>
      </c>
      <c r="E12" t="s">
        <v>327</v>
      </c>
      <c r="I12" t="s">
        <v>328</v>
      </c>
      <c r="J12" t="s">
        <v>39</v>
      </c>
      <c r="K12" t="s">
        <v>44</v>
      </c>
    </row>
    <row r="13" spans="1:13" x14ac:dyDescent="0.25">
      <c r="A13" t="s">
        <v>39</v>
      </c>
      <c r="C13" t="s">
        <v>11</v>
      </c>
      <c r="D13" t="s">
        <v>39</v>
      </c>
      <c r="E13" t="s">
        <v>332</v>
      </c>
      <c r="H13" t="s">
        <v>333</v>
      </c>
      <c r="I13" t="s">
        <v>311</v>
      </c>
    </row>
    <row r="14" spans="1:13" x14ac:dyDescent="0.25">
      <c r="A14" t="s">
        <v>334</v>
      </c>
      <c r="C14" t="s">
        <v>306</v>
      </c>
      <c r="D14" t="s">
        <v>313</v>
      </c>
      <c r="E14" t="s">
        <v>335</v>
      </c>
      <c r="H14" t="s">
        <v>333</v>
      </c>
      <c r="I14" t="s">
        <v>315</v>
      </c>
    </row>
    <row r="15" spans="1:13" x14ac:dyDescent="0.25">
      <c r="A15" t="s">
        <v>336</v>
      </c>
      <c r="C15" t="s">
        <v>11</v>
      </c>
      <c r="D15" t="s">
        <v>336</v>
      </c>
      <c r="E15" t="s">
        <v>337</v>
      </c>
      <c r="F15">
        <v>0.01</v>
      </c>
      <c r="G15">
        <v>500000</v>
      </c>
      <c r="H15" t="s">
        <v>333</v>
      </c>
      <c r="I15" t="s">
        <v>338</v>
      </c>
    </row>
    <row r="16" spans="1:13" ht="409.5" x14ac:dyDescent="0.25">
      <c r="A16" t="s">
        <v>339</v>
      </c>
      <c r="B16">
        <v>1</v>
      </c>
      <c r="C16" t="s">
        <v>11</v>
      </c>
      <c r="D16" t="s">
        <v>340</v>
      </c>
      <c r="E16" t="s">
        <v>341</v>
      </c>
      <c r="H16" t="s">
        <v>310</v>
      </c>
      <c r="I16" s="1" t="s">
        <v>342</v>
      </c>
    </row>
    <row r="17" spans="1:9" ht="409.5" x14ac:dyDescent="0.25">
      <c r="A17" t="s">
        <v>339</v>
      </c>
      <c r="B17">
        <v>2</v>
      </c>
      <c r="C17" t="s">
        <v>11</v>
      </c>
      <c r="D17" t="s">
        <v>343</v>
      </c>
      <c r="E17" t="s">
        <v>341</v>
      </c>
      <c r="H17" t="s">
        <v>310</v>
      </c>
      <c r="I17" s="1" t="s">
        <v>342</v>
      </c>
    </row>
    <row r="18" spans="1:9" ht="409.5" x14ac:dyDescent="0.25">
      <c r="A18" t="s">
        <v>339</v>
      </c>
      <c r="B18">
        <v>3</v>
      </c>
      <c r="C18" t="s">
        <v>11</v>
      </c>
      <c r="D18" t="s">
        <v>344</v>
      </c>
      <c r="E18" t="s">
        <v>341</v>
      </c>
      <c r="H18" t="s">
        <v>310</v>
      </c>
      <c r="I18" s="1" t="s">
        <v>342</v>
      </c>
    </row>
    <row r="19" spans="1:9" ht="409.5" x14ac:dyDescent="0.25">
      <c r="A19" t="s">
        <v>339</v>
      </c>
      <c r="B19">
        <v>4</v>
      </c>
      <c r="C19" t="s">
        <v>11</v>
      </c>
      <c r="D19" t="s">
        <v>345</v>
      </c>
      <c r="E19" t="s">
        <v>341</v>
      </c>
      <c r="H19" t="s">
        <v>310</v>
      </c>
      <c r="I19" s="1" t="s">
        <v>342</v>
      </c>
    </row>
    <row r="20" spans="1:9" ht="409.5" x14ac:dyDescent="0.25">
      <c r="A20" t="s">
        <v>339</v>
      </c>
      <c r="B20">
        <v>5</v>
      </c>
      <c r="C20" t="s">
        <v>11</v>
      </c>
      <c r="D20" t="s">
        <v>346</v>
      </c>
      <c r="E20" t="s">
        <v>341</v>
      </c>
      <c r="H20" t="s">
        <v>310</v>
      </c>
      <c r="I20" s="1" t="s">
        <v>342</v>
      </c>
    </row>
    <row r="21" spans="1:9" ht="409.5" x14ac:dyDescent="0.25">
      <c r="A21" t="s">
        <v>339</v>
      </c>
      <c r="B21">
        <v>6</v>
      </c>
      <c r="C21" t="s">
        <v>11</v>
      </c>
      <c r="D21" t="s">
        <v>347</v>
      </c>
      <c r="E21" t="s">
        <v>341</v>
      </c>
      <c r="H21" t="s">
        <v>310</v>
      </c>
      <c r="I21" s="1" t="s">
        <v>342</v>
      </c>
    </row>
    <row r="22" spans="1:9" ht="409.5" x14ac:dyDescent="0.25">
      <c r="A22" t="s">
        <v>339</v>
      </c>
      <c r="B22">
        <v>7</v>
      </c>
      <c r="C22" t="s">
        <v>11</v>
      </c>
      <c r="D22" t="s">
        <v>348</v>
      </c>
      <c r="E22" t="s">
        <v>341</v>
      </c>
      <c r="H22" t="s">
        <v>310</v>
      </c>
      <c r="I22" s="1" t="s">
        <v>342</v>
      </c>
    </row>
    <row r="23" spans="1:9" ht="409.5" x14ac:dyDescent="0.25">
      <c r="A23" t="s">
        <v>339</v>
      </c>
      <c r="B23">
        <v>8</v>
      </c>
      <c r="C23" t="s">
        <v>11</v>
      </c>
      <c r="D23" t="s">
        <v>349</v>
      </c>
      <c r="E23" t="s">
        <v>341</v>
      </c>
      <c r="H23" t="s">
        <v>310</v>
      </c>
      <c r="I23" s="1" t="s">
        <v>342</v>
      </c>
    </row>
    <row r="24" spans="1:9" ht="409.5" x14ac:dyDescent="0.25">
      <c r="A24" t="s">
        <v>339</v>
      </c>
      <c r="B24">
        <v>9</v>
      </c>
      <c r="C24" t="s">
        <v>11</v>
      </c>
      <c r="D24" t="s">
        <v>350</v>
      </c>
      <c r="E24" t="s">
        <v>341</v>
      </c>
      <c r="H24" t="s">
        <v>310</v>
      </c>
      <c r="I24" s="1" t="s">
        <v>342</v>
      </c>
    </row>
    <row r="25" spans="1:9" ht="409.5" x14ac:dyDescent="0.25">
      <c r="A25" t="s">
        <v>339</v>
      </c>
      <c r="B25">
        <v>10</v>
      </c>
      <c r="C25" t="s">
        <v>11</v>
      </c>
      <c r="D25" t="s">
        <v>351</v>
      </c>
      <c r="E25" t="s">
        <v>341</v>
      </c>
      <c r="H25" t="s">
        <v>310</v>
      </c>
      <c r="I25" s="1" t="s">
        <v>342</v>
      </c>
    </row>
    <row r="26" spans="1:9" ht="409.5" x14ac:dyDescent="0.25">
      <c r="A26" t="s">
        <v>339</v>
      </c>
      <c r="B26">
        <v>11</v>
      </c>
      <c r="C26" t="s">
        <v>11</v>
      </c>
      <c r="D26" t="s">
        <v>352</v>
      </c>
      <c r="E26" t="s">
        <v>341</v>
      </c>
      <c r="H26" t="s">
        <v>310</v>
      </c>
      <c r="I26" s="1" t="s">
        <v>342</v>
      </c>
    </row>
    <row r="27" spans="1:9" ht="409.5" x14ac:dyDescent="0.25">
      <c r="A27" t="s">
        <v>339</v>
      </c>
      <c r="B27">
        <v>12</v>
      </c>
      <c r="C27" t="s">
        <v>11</v>
      </c>
      <c r="D27" t="s">
        <v>353</v>
      </c>
      <c r="E27" t="s">
        <v>341</v>
      </c>
      <c r="H27" t="s">
        <v>310</v>
      </c>
      <c r="I27" s="1" t="s">
        <v>342</v>
      </c>
    </row>
    <row r="28" spans="1:9" ht="409.5" x14ac:dyDescent="0.25">
      <c r="A28" t="s">
        <v>339</v>
      </c>
      <c r="B28">
        <v>13</v>
      </c>
      <c r="C28" t="s">
        <v>11</v>
      </c>
      <c r="D28" t="s">
        <v>354</v>
      </c>
      <c r="E28" t="s">
        <v>341</v>
      </c>
      <c r="H28" t="s">
        <v>310</v>
      </c>
      <c r="I28" s="1" t="s">
        <v>342</v>
      </c>
    </row>
    <row r="29" spans="1:9" ht="409.5" x14ac:dyDescent="0.25">
      <c r="A29" t="s">
        <v>339</v>
      </c>
      <c r="B29">
        <v>14</v>
      </c>
      <c r="C29" t="s">
        <v>11</v>
      </c>
      <c r="D29" t="s">
        <v>355</v>
      </c>
      <c r="E29" t="s">
        <v>341</v>
      </c>
      <c r="H29" t="s">
        <v>310</v>
      </c>
      <c r="I29" s="1" t="s">
        <v>342</v>
      </c>
    </row>
    <row r="30" spans="1:9" ht="409.5" x14ac:dyDescent="0.25">
      <c r="A30" t="s">
        <v>339</v>
      </c>
      <c r="B30">
        <v>15</v>
      </c>
      <c r="C30" t="s">
        <v>11</v>
      </c>
      <c r="D30" t="s">
        <v>356</v>
      </c>
      <c r="E30" t="s">
        <v>341</v>
      </c>
      <c r="H30" t="s">
        <v>310</v>
      </c>
      <c r="I30" s="1" t="s">
        <v>342</v>
      </c>
    </row>
    <row r="31" spans="1:9" ht="409.5" x14ac:dyDescent="0.25">
      <c r="A31" t="s">
        <v>339</v>
      </c>
      <c r="B31">
        <v>16</v>
      </c>
      <c r="C31" t="s">
        <v>11</v>
      </c>
      <c r="D31" t="s">
        <v>357</v>
      </c>
      <c r="E31" t="s">
        <v>341</v>
      </c>
      <c r="H31" t="s">
        <v>310</v>
      </c>
      <c r="I31" s="1" t="s">
        <v>342</v>
      </c>
    </row>
    <row r="32" spans="1:9" ht="409.5" x14ac:dyDescent="0.25">
      <c r="A32" t="s">
        <v>339</v>
      </c>
      <c r="B32">
        <v>17</v>
      </c>
      <c r="C32" t="s">
        <v>11</v>
      </c>
      <c r="D32" t="s">
        <v>358</v>
      </c>
      <c r="E32" t="s">
        <v>341</v>
      </c>
      <c r="H32" t="s">
        <v>310</v>
      </c>
      <c r="I32" s="1" t="s">
        <v>342</v>
      </c>
    </row>
    <row r="33" spans="1:9" ht="409.5" x14ac:dyDescent="0.25">
      <c r="A33" t="s">
        <v>339</v>
      </c>
      <c r="B33">
        <v>18</v>
      </c>
      <c r="C33" t="s">
        <v>11</v>
      </c>
      <c r="D33" t="s">
        <v>359</v>
      </c>
      <c r="E33" t="s">
        <v>341</v>
      </c>
      <c r="H33" t="s">
        <v>310</v>
      </c>
      <c r="I33" s="1" t="s">
        <v>342</v>
      </c>
    </row>
    <row r="34" spans="1:9" ht="409.5" x14ac:dyDescent="0.25">
      <c r="A34" t="s">
        <v>339</v>
      </c>
      <c r="B34">
        <v>19</v>
      </c>
      <c r="C34" t="s">
        <v>11</v>
      </c>
      <c r="D34" t="s">
        <v>360</v>
      </c>
      <c r="E34" t="s">
        <v>341</v>
      </c>
      <c r="H34" t="s">
        <v>310</v>
      </c>
      <c r="I34" s="1" t="s">
        <v>342</v>
      </c>
    </row>
    <row r="35" spans="1:9" ht="409.5" x14ac:dyDescent="0.25">
      <c r="A35" t="s">
        <v>339</v>
      </c>
      <c r="B35">
        <v>20</v>
      </c>
      <c r="C35" t="s">
        <v>11</v>
      </c>
      <c r="D35" t="s">
        <v>361</v>
      </c>
      <c r="E35" t="s">
        <v>341</v>
      </c>
      <c r="H35" t="s">
        <v>310</v>
      </c>
      <c r="I35" s="1" t="s">
        <v>342</v>
      </c>
    </row>
    <row r="36" spans="1:9" ht="409.5" x14ac:dyDescent="0.25">
      <c r="A36" t="s">
        <v>362</v>
      </c>
      <c r="B36">
        <v>1</v>
      </c>
      <c r="C36" t="s">
        <v>11</v>
      </c>
      <c r="D36" t="s">
        <v>363</v>
      </c>
      <c r="H36" t="s">
        <v>310</v>
      </c>
      <c r="I36" s="1" t="s">
        <v>364</v>
      </c>
    </row>
    <row r="37" spans="1:9" ht="409.5" x14ac:dyDescent="0.25">
      <c r="A37" t="s">
        <v>362</v>
      </c>
      <c r="B37">
        <v>2</v>
      </c>
      <c r="C37" t="s">
        <v>11</v>
      </c>
      <c r="D37" t="s">
        <v>365</v>
      </c>
      <c r="H37" t="s">
        <v>310</v>
      </c>
      <c r="I37" s="1" t="s">
        <v>364</v>
      </c>
    </row>
    <row r="38" spans="1:9" ht="409.5" x14ac:dyDescent="0.25">
      <c r="A38" t="s">
        <v>362</v>
      </c>
      <c r="B38">
        <v>3</v>
      </c>
      <c r="C38" t="s">
        <v>11</v>
      </c>
      <c r="D38" t="s">
        <v>366</v>
      </c>
      <c r="H38" t="s">
        <v>310</v>
      </c>
      <c r="I38" s="1" t="s">
        <v>364</v>
      </c>
    </row>
    <row r="39" spans="1:9" x14ac:dyDescent="0.25">
      <c r="A39" t="s">
        <v>367</v>
      </c>
      <c r="B39">
        <v>999</v>
      </c>
      <c r="C39" t="s">
        <v>11</v>
      </c>
      <c r="D39" t="s">
        <v>368</v>
      </c>
      <c r="E39" t="s">
        <v>369</v>
      </c>
    </row>
    <row r="40" spans="1:9" x14ac:dyDescent="0.25">
      <c r="A40" t="s">
        <v>367</v>
      </c>
      <c r="B40">
        <v>1</v>
      </c>
      <c r="C40" t="s">
        <v>11</v>
      </c>
      <c r="D40" t="s">
        <v>370</v>
      </c>
      <c r="E40" t="s">
        <v>369</v>
      </c>
    </row>
    <row r="41" spans="1:9" x14ac:dyDescent="0.25">
      <c r="A41" t="s">
        <v>367</v>
      </c>
      <c r="B41">
        <v>2</v>
      </c>
      <c r="C41" t="s">
        <v>11</v>
      </c>
      <c r="D41" t="s">
        <v>371</v>
      </c>
      <c r="E41" t="s">
        <v>369</v>
      </c>
    </row>
    <row r="42" spans="1:9" x14ac:dyDescent="0.25">
      <c r="A42" t="s">
        <v>367</v>
      </c>
      <c r="B42">
        <v>3</v>
      </c>
      <c r="C42" t="s">
        <v>11</v>
      </c>
      <c r="D42" t="s">
        <v>372</v>
      </c>
      <c r="E42" t="s">
        <v>369</v>
      </c>
    </row>
    <row r="43" spans="1:9" x14ac:dyDescent="0.25">
      <c r="A43" t="s">
        <v>367</v>
      </c>
      <c r="B43">
        <v>4</v>
      </c>
      <c r="C43" t="s">
        <v>11</v>
      </c>
      <c r="D43" t="s">
        <v>373</v>
      </c>
      <c r="E43" t="s">
        <v>369</v>
      </c>
    </row>
    <row r="44" spans="1:9" x14ac:dyDescent="0.25">
      <c r="A44" t="s">
        <v>367</v>
      </c>
      <c r="B44">
        <v>5</v>
      </c>
      <c r="C44" t="s">
        <v>11</v>
      </c>
      <c r="D44" t="s">
        <v>374</v>
      </c>
      <c r="E44" t="s">
        <v>369</v>
      </c>
    </row>
    <row r="45" spans="1:9" x14ac:dyDescent="0.25">
      <c r="A45" t="s">
        <v>367</v>
      </c>
      <c r="B45">
        <v>6</v>
      </c>
      <c r="C45" t="s">
        <v>11</v>
      </c>
      <c r="D45" t="s">
        <v>375</v>
      </c>
      <c r="E45" t="s">
        <v>369</v>
      </c>
    </row>
    <row r="46" spans="1:9" x14ac:dyDescent="0.25">
      <c r="A46" t="s">
        <v>376</v>
      </c>
      <c r="C46" t="s">
        <v>306</v>
      </c>
      <c r="D46" t="s">
        <v>376</v>
      </c>
      <c r="E46" t="s">
        <v>377</v>
      </c>
    </row>
    <row r="47" spans="1:9" x14ac:dyDescent="0.25">
      <c r="A47" t="s">
        <v>378</v>
      </c>
      <c r="C47" t="s">
        <v>306</v>
      </c>
      <c r="D47" t="s">
        <v>379</v>
      </c>
      <c r="E47" t="s">
        <v>288</v>
      </c>
    </row>
    <row r="48" spans="1:9" x14ac:dyDescent="0.25">
      <c r="A48" t="s">
        <v>380</v>
      </c>
      <c r="C48" t="s">
        <v>306</v>
      </c>
      <c r="D48" t="s">
        <v>381</v>
      </c>
      <c r="E48" t="s">
        <v>288</v>
      </c>
    </row>
    <row r="49" spans="1:5" x14ac:dyDescent="0.25">
      <c r="A49" t="s">
        <v>382</v>
      </c>
      <c r="C49" t="s">
        <v>306</v>
      </c>
      <c r="D49" t="s">
        <v>383</v>
      </c>
      <c r="E49" t="s">
        <v>288</v>
      </c>
    </row>
    <row r="50" spans="1:5" x14ac:dyDescent="0.25">
      <c r="A50" t="s">
        <v>384</v>
      </c>
      <c r="C50" t="s">
        <v>306</v>
      </c>
      <c r="D50" t="s">
        <v>385</v>
      </c>
      <c r="E50" t="s">
        <v>288</v>
      </c>
    </row>
    <row r="51" spans="1:5" x14ac:dyDescent="0.25">
      <c r="A51" t="s">
        <v>386</v>
      </c>
      <c r="C51" t="s">
        <v>306</v>
      </c>
      <c r="D51" t="s">
        <v>387</v>
      </c>
      <c r="E51" t="s">
        <v>288</v>
      </c>
    </row>
    <row r="52" spans="1:5" x14ac:dyDescent="0.25">
      <c r="A52" t="s">
        <v>388</v>
      </c>
      <c r="C52" t="s">
        <v>306</v>
      </c>
      <c r="D52" t="s">
        <v>389</v>
      </c>
      <c r="E52" t="s">
        <v>288</v>
      </c>
    </row>
    <row r="53" spans="1:5" x14ac:dyDescent="0.25">
      <c r="A53" t="s">
        <v>390</v>
      </c>
      <c r="C53" t="s">
        <v>306</v>
      </c>
      <c r="D53" t="s">
        <v>391</v>
      </c>
      <c r="E53" t="s">
        <v>285</v>
      </c>
    </row>
    <row r="54" spans="1:5" x14ac:dyDescent="0.25">
      <c r="A54" t="s">
        <v>392</v>
      </c>
      <c r="C54" t="s">
        <v>306</v>
      </c>
      <c r="D54" t="s">
        <v>393</v>
      </c>
      <c r="E54" t="s">
        <v>285</v>
      </c>
    </row>
    <row r="55" spans="1:5" x14ac:dyDescent="0.25">
      <c r="A55" t="s">
        <v>394</v>
      </c>
      <c r="C55" t="s">
        <v>306</v>
      </c>
      <c r="D55" t="s">
        <v>395</v>
      </c>
      <c r="E55" t="s">
        <v>285</v>
      </c>
    </row>
    <row r="56" spans="1:5" x14ac:dyDescent="0.25">
      <c r="A56" t="s">
        <v>396</v>
      </c>
      <c r="C56" t="s">
        <v>306</v>
      </c>
      <c r="D56" t="s">
        <v>397</v>
      </c>
      <c r="E56" t="s">
        <v>285</v>
      </c>
    </row>
    <row r="57" spans="1:5" x14ac:dyDescent="0.25">
      <c r="A57" t="s">
        <v>398</v>
      </c>
      <c r="C57" t="s">
        <v>306</v>
      </c>
      <c r="D57" t="s">
        <v>399</v>
      </c>
      <c r="E57" t="s">
        <v>285</v>
      </c>
    </row>
    <row r="58" spans="1:5" x14ac:dyDescent="0.25">
      <c r="A58" t="s">
        <v>400</v>
      </c>
      <c r="C58" t="s">
        <v>306</v>
      </c>
      <c r="D58" t="s">
        <v>401</v>
      </c>
      <c r="E58" t="s">
        <v>285</v>
      </c>
    </row>
    <row r="59" spans="1:5" x14ac:dyDescent="0.25">
      <c r="A59" t="s">
        <v>402</v>
      </c>
      <c r="C59" t="s">
        <v>306</v>
      </c>
      <c r="D59" t="s">
        <v>403</v>
      </c>
      <c r="E59" t="s">
        <v>221</v>
      </c>
    </row>
    <row r="60" spans="1:5" x14ac:dyDescent="0.25">
      <c r="A60" t="s">
        <v>404</v>
      </c>
      <c r="C60" t="s">
        <v>306</v>
      </c>
      <c r="D60" t="s">
        <v>405</v>
      </c>
      <c r="E60" t="s">
        <v>221</v>
      </c>
    </row>
    <row r="61" spans="1:5" x14ac:dyDescent="0.25">
      <c r="A61" t="s">
        <v>406</v>
      </c>
      <c r="C61" t="s">
        <v>306</v>
      </c>
      <c r="D61" t="s">
        <v>407</v>
      </c>
      <c r="E61" t="s">
        <v>221</v>
      </c>
    </row>
    <row r="62" spans="1:5" x14ac:dyDescent="0.25">
      <c r="A62" t="s">
        <v>408</v>
      </c>
      <c r="C62" t="s">
        <v>306</v>
      </c>
      <c r="D62" t="s">
        <v>409</v>
      </c>
      <c r="E62" t="s">
        <v>221</v>
      </c>
    </row>
    <row r="63" spans="1:5" x14ac:dyDescent="0.25">
      <c r="A63" t="s">
        <v>410</v>
      </c>
      <c r="C63" t="s">
        <v>306</v>
      </c>
      <c r="D63" t="s">
        <v>411</v>
      </c>
      <c r="E63" t="s">
        <v>221</v>
      </c>
    </row>
    <row r="64" spans="1:5" x14ac:dyDescent="0.25">
      <c r="A64" t="s">
        <v>412</v>
      </c>
      <c r="C64" t="s">
        <v>306</v>
      </c>
      <c r="D64" t="s">
        <v>413</v>
      </c>
      <c r="E64" t="s">
        <v>221</v>
      </c>
    </row>
    <row r="65" spans="1:5" x14ac:dyDescent="0.25">
      <c r="A65" t="s">
        <v>414</v>
      </c>
      <c r="B65">
        <v>1</v>
      </c>
      <c r="C65" t="s">
        <v>11</v>
      </c>
      <c r="D65" t="s">
        <v>415</v>
      </c>
      <c r="E65" t="s">
        <v>416</v>
      </c>
    </row>
    <row r="66" spans="1:5" x14ac:dyDescent="0.25">
      <c r="A66" t="s">
        <v>414</v>
      </c>
      <c r="B66">
        <v>2</v>
      </c>
      <c r="C66" t="s">
        <v>11</v>
      </c>
      <c r="D66" t="s">
        <v>417</v>
      </c>
      <c r="E66" t="s">
        <v>418</v>
      </c>
    </row>
    <row r="67" spans="1:5" x14ac:dyDescent="0.25">
      <c r="A67" t="s">
        <v>414</v>
      </c>
      <c r="B67">
        <v>3</v>
      </c>
      <c r="C67" t="s">
        <v>11</v>
      </c>
      <c r="D67" t="s">
        <v>419</v>
      </c>
      <c r="E67" t="s">
        <v>420</v>
      </c>
    </row>
    <row r="68" spans="1:5" x14ac:dyDescent="0.25">
      <c r="A68" t="s">
        <v>414</v>
      </c>
      <c r="B68">
        <v>4</v>
      </c>
      <c r="C68" t="s">
        <v>11</v>
      </c>
      <c r="D68" t="s">
        <v>421</v>
      </c>
      <c r="E68" t="s">
        <v>422</v>
      </c>
    </row>
    <row r="69" spans="1:5" x14ac:dyDescent="0.25">
      <c r="A69" t="s">
        <v>414</v>
      </c>
      <c r="B69">
        <v>5</v>
      </c>
      <c r="C69" t="s">
        <v>11</v>
      </c>
      <c r="D69" t="s">
        <v>423</v>
      </c>
      <c r="E69" t="s">
        <v>424</v>
      </c>
    </row>
    <row r="70" spans="1:5" x14ac:dyDescent="0.25">
      <c r="A70" t="s">
        <v>414</v>
      </c>
      <c r="B70">
        <v>6</v>
      </c>
      <c r="C70" t="s">
        <v>11</v>
      </c>
      <c r="D70" t="s">
        <v>425</v>
      </c>
      <c r="E70" t="s">
        <v>426</v>
      </c>
    </row>
    <row r="71" spans="1:5" x14ac:dyDescent="0.25">
      <c r="A71" t="s">
        <v>414</v>
      </c>
      <c r="B71">
        <v>7</v>
      </c>
      <c r="C71" t="s">
        <v>11</v>
      </c>
      <c r="D71" t="s">
        <v>427</v>
      </c>
      <c r="E71" t="s">
        <v>428</v>
      </c>
    </row>
    <row r="72" spans="1:5" x14ac:dyDescent="0.25">
      <c r="A72" t="s">
        <v>414</v>
      </c>
      <c r="B72">
        <v>8</v>
      </c>
      <c r="C72" t="s">
        <v>11</v>
      </c>
      <c r="D72" t="s">
        <v>429</v>
      </c>
      <c r="E72" t="s">
        <v>430</v>
      </c>
    </row>
    <row r="73" spans="1:5" x14ac:dyDescent="0.25">
      <c r="A73" t="s">
        <v>414</v>
      </c>
      <c r="B73">
        <v>9</v>
      </c>
      <c r="C73" t="s">
        <v>11</v>
      </c>
      <c r="D73" t="s">
        <v>431</v>
      </c>
      <c r="E73" t="s">
        <v>432</v>
      </c>
    </row>
    <row r="74" spans="1:5" x14ac:dyDescent="0.25">
      <c r="A74" t="s">
        <v>433</v>
      </c>
      <c r="B74">
        <v>1</v>
      </c>
      <c r="C74" t="s">
        <v>11</v>
      </c>
      <c r="D74" t="s">
        <v>434</v>
      </c>
      <c r="E74" t="s">
        <v>416</v>
      </c>
    </row>
    <row r="75" spans="1:5" x14ac:dyDescent="0.25">
      <c r="A75" t="s">
        <v>433</v>
      </c>
      <c r="B75">
        <v>2</v>
      </c>
      <c r="C75" t="s">
        <v>11</v>
      </c>
      <c r="D75" t="s">
        <v>435</v>
      </c>
      <c r="E75" t="s">
        <v>418</v>
      </c>
    </row>
    <row r="76" spans="1:5" x14ac:dyDescent="0.25">
      <c r="A76" t="s">
        <v>433</v>
      </c>
      <c r="B76">
        <v>3</v>
      </c>
      <c r="C76" t="s">
        <v>11</v>
      </c>
      <c r="D76" t="s">
        <v>436</v>
      </c>
      <c r="E76" t="s">
        <v>420</v>
      </c>
    </row>
    <row r="77" spans="1:5" x14ac:dyDescent="0.25">
      <c r="A77" t="s">
        <v>433</v>
      </c>
      <c r="B77">
        <v>4</v>
      </c>
      <c r="C77" t="s">
        <v>11</v>
      </c>
      <c r="D77" t="s">
        <v>437</v>
      </c>
      <c r="E77" t="s">
        <v>422</v>
      </c>
    </row>
    <row r="78" spans="1:5" x14ac:dyDescent="0.25">
      <c r="A78" t="s">
        <v>433</v>
      </c>
      <c r="B78">
        <v>5</v>
      </c>
      <c r="C78" t="s">
        <v>11</v>
      </c>
      <c r="D78" t="s">
        <v>438</v>
      </c>
      <c r="E78" t="s">
        <v>424</v>
      </c>
    </row>
    <row r="79" spans="1:5" x14ac:dyDescent="0.25">
      <c r="A79" t="s">
        <v>433</v>
      </c>
      <c r="B79">
        <v>6</v>
      </c>
      <c r="C79" t="s">
        <v>11</v>
      </c>
      <c r="D79" t="s">
        <v>439</v>
      </c>
      <c r="E79" t="s">
        <v>426</v>
      </c>
    </row>
    <row r="80" spans="1:5" x14ac:dyDescent="0.25">
      <c r="A80" t="s">
        <v>433</v>
      </c>
      <c r="B80">
        <v>7</v>
      </c>
      <c r="C80" t="s">
        <v>11</v>
      </c>
      <c r="D80" t="s">
        <v>440</v>
      </c>
      <c r="E80" t="s">
        <v>428</v>
      </c>
    </row>
    <row r="81" spans="1:5" x14ac:dyDescent="0.25">
      <c r="A81" t="s">
        <v>433</v>
      </c>
      <c r="B81">
        <v>8</v>
      </c>
      <c r="C81" t="s">
        <v>11</v>
      </c>
      <c r="D81" t="s">
        <v>441</v>
      </c>
      <c r="E81" t="s">
        <v>430</v>
      </c>
    </row>
    <row r="82" spans="1:5" x14ac:dyDescent="0.25">
      <c r="A82" t="s">
        <v>433</v>
      </c>
      <c r="B82">
        <v>9</v>
      </c>
      <c r="C82" t="s">
        <v>11</v>
      </c>
      <c r="D82" t="s">
        <v>442</v>
      </c>
      <c r="E82" t="s">
        <v>432</v>
      </c>
    </row>
    <row r="83" spans="1:5" x14ac:dyDescent="0.25">
      <c r="A83" t="s">
        <v>443</v>
      </c>
      <c r="B83">
        <v>1</v>
      </c>
      <c r="C83" t="s">
        <v>11</v>
      </c>
      <c r="D83" t="s">
        <v>444</v>
      </c>
      <c r="E83" t="s">
        <v>416</v>
      </c>
    </row>
    <row r="84" spans="1:5" x14ac:dyDescent="0.25">
      <c r="A84" t="s">
        <v>443</v>
      </c>
      <c r="B84">
        <v>2</v>
      </c>
      <c r="C84" t="s">
        <v>11</v>
      </c>
      <c r="D84" t="s">
        <v>445</v>
      </c>
      <c r="E84" t="s">
        <v>418</v>
      </c>
    </row>
    <row r="85" spans="1:5" x14ac:dyDescent="0.25">
      <c r="A85" t="s">
        <v>443</v>
      </c>
      <c r="B85">
        <v>3</v>
      </c>
      <c r="C85" t="s">
        <v>11</v>
      </c>
      <c r="D85" t="s">
        <v>446</v>
      </c>
      <c r="E85" t="s">
        <v>420</v>
      </c>
    </row>
    <row r="86" spans="1:5" x14ac:dyDescent="0.25">
      <c r="A86" t="s">
        <v>443</v>
      </c>
      <c r="B86">
        <v>4</v>
      </c>
      <c r="C86" t="s">
        <v>11</v>
      </c>
      <c r="D86" t="s">
        <v>447</v>
      </c>
      <c r="E86" t="s">
        <v>422</v>
      </c>
    </row>
    <row r="87" spans="1:5" x14ac:dyDescent="0.25">
      <c r="A87" t="s">
        <v>443</v>
      </c>
      <c r="B87">
        <v>5</v>
      </c>
      <c r="C87" t="s">
        <v>11</v>
      </c>
      <c r="D87" t="s">
        <v>448</v>
      </c>
      <c r="E87" t="s">
        <v>424</v>
      </c>
    </row>
    <row r="88" spans="1:5" x14ac:dyDescent="0.25">
      <c r="A88" t="s">
        <v>443</v>
      </c>
      <c r="B88">
        <v>6</v>
      </c>
      <c r="C88" t="s">
        <v>11</v>
      </c>
      <c r="D88" t="s">
        <v>449</v>
      </c>
      <c r="E88" t="s">
        <v>426</v>
      </c>
    </row>
    <row r="89" spans="1:5" x14ac:dyDescent="0.25">
      <c r="A89" t="s">
        <v>443</v>
      </c>
      <c r="B89">
        <v>7</v>
      </c>
      <c r="C89" t="s">
        <v>11</v>
      </c>
      <c r="D89" t="s">
        <v>450</v>
      </c>
      <c r="E89" t="s">
        <v>428</v>
      </c>
    </row>
    <row r="90" spans="1:5" x14ac:dyDescent="0.25">
      <c r="A90" t="s">
        <v>443</v>
      </c>
      <c r="B90">
        <v>8</v>
      </c>
      <c r="C90" t="s">
        <v>11</v>
      </c>
      <c r="D90" t="s">
        <v>451</v>
      </c>
      <c r="E90" t="s">
        <v>430</v>
      </c>
    </row>
    <row r="91" spans="1:5" x14ac:dyDescent="0.25">
      <c r="A91" t="s">
        <v>443</v>
      </c>
      <c r="B91">
        <v>9</v>
      </c>
      <c r="C91" t="s">
        <v>11</v>
      </c>
      <c r="D91" t="s">
        <v>452</v>
      </c>
      <c r="E91" t="s">
        <v>432</v>
      </c>
    </row>
    <row r="92" spans="1:5" x14ac:dyDescent="0.25">
      <c r="A92" t="s">
        <v>453</v>
      </c>
      <c r="B92">
        <v>1</v>
      </c>
      <c r="C92" t="s">
        <v>11</v>
      </c>
      <c r="D92" t="s">
        <v>454</v>
      </c>
      <c r="E92" t="s">
        <v>416</v>
      </c>
    </row>
    <row r="93" spans="1:5" x14ac:dyDescent="0.25">
      <c r="A93" t="s">
        <v>453</v>
      </c>
      <c r="B93">
        <v>2</v>
      </c>
      <c r="C93" t="s">
        <v>11</v>
      </c>
      <c r="D93" t="s">
        <v>455</v>
      </c>
      <c r="E93" t="s">
        <v>418</v>
      </c>
    </row>
    <row r="94" spans="1:5" x14ac:dyDescent="0.25">
      <c r="A94" t="s">
        <v>453</v>
      </c>
      <c r="B94">
        <v>3</v>
      </c>
      <c r="C94" t="s">
        <v>11</v>
      </c>
      <c r="D94" t="s">
        <v>456</v>
      </c>
      <c r="E94" t="s">
        <v>420</v>
      </c>
    </row>
    <row r="95" spans="1:5" x14ac:dyDescent="0.25">
      <c r="A95" t="s">
        <v>453</v>
      </c>
      <c r="B95">
        <v>4</v>
      </c>
      <c r="C95" t="s">
        <v>11</v>
      </c>
      <c r="D95" t="s">
        <v>457</v>
      </c>
      <c r="E95" t="s">
        <v>422</v>
      </c>
    </row>
    <row r="96" spans="1:5" x14ac:dyDescent="0.25">
      <c r="A96" t="s">
        <v>453</v>
      </c>
      <c r="B96">
        <v>5</v>
      </c>
      <c r="C96" t="s">
        <v>11</v>
      </c>
      <c r="D96" t="s">
        <v>458</v>
      </c>
      <c r="E96" t="s">
        <v>424</v>
      </c>
    </row>
    <row r="97" spans="1:5" x14ac:dyDescent="0.25">
      <c r="A97" t="s">
        <v>453</v>
      </c>
      <c r="B97">
        <v>6</v>
      </c>
      <c r="C97" t="s">
        <v>11</v>
      </c>
      <c r="D97" t="s">
        <v>459</v>
      </c>
      <c r="E97" t="s">
        <v>426</v>
      </c>
    </row>
    <row r="98" spans="1:5" x14ac:dyDescent="0.25">
      <c r="A98" t="s">
        <v>453</v>
      </c>
      <c r="B98">
        <v>7</v>
      </c>
      <c r="C98" t="s">
        <v>11</v>
      </c>
      <c r="D98" t="s">
        <v>460</v>
      </c>
      <c r="E98" t="s">
        <v>428</v>
      </c>
    </row>
    <row r="99" spans="1:5" x14ac:dyDescent="0.25">
      <c r="A99" t="s">
        <v>453</v>
      </c>
      <c r="B99">
        <v>8</v>
      </c>
      <c r="C99" t="s">
        <v>11</v>
      </c>
      <c r="D99" t="s">
        <v>461</v>
      </c>
      <c r="E99" t="s">
        <v>430</v>
      </c>
    </row>
    <row r="100" spans="1:5" x14ac:dyDescent="0.25">
      <c r="A100" t="s">
        <v>453</v>
      </c>
      <c r="B100">
        <v>9</v>
      </c>
      <c r="C100" t="s">
        <v>11</v>
      </c>
      <c r="D100" t="s">
        <v>462</v>
      </c>
      <c r="E100" t="s">
        <v>432</v>
      </c>
    </row>
    <row r="101" spans="1:5" x14ac:dyDescent="0.25">
      <c r="A101" t="s">
        <v>463</v>
      </c>
      <c r="B101">
        <v>1</v>
      </c>
      <c r="C101" t="s">
        <v>11</v>
      </c>
      <c r="D101" t="s">
        <v>464</v>
      </c>
      <c r="E101" t="s">
        <v>416</v>
      </c>
    </row>
    <row r="102" spans="1:5" x14ac:dyDescent="0.25">
      <c r="A102" t="s">
        <v>463</v>
      </c>
      <c r="B102">
        <v>2</v>
      </c>
      <c r="C102" t="s">
        <v>11</v>
      </c>
      <c r="D102" t="s">
        <v>465</v>
      </c>
      <c r="E102" t="s">
        <v>418</v>
      </c>
    </row>
    <row r="103" spans="1:5" x14ac:dyDescent="0.25">
      <c r="A103" t="s">
        <v>463</v>
      </c>
      <c r="B103">
        <v>3</v>
      </c>
      <c r="C103" t="s">
        <v>11</v>
      </c>
      <c r="D103" t="s">
        <v>466</v>
      </c>
      <c r="E103" t="s">
        <v>420</v>
      </c>
    </row>
    <row r="104" spans="1:5" x14ac:dyDescent="0.25">
      <c r="A104" t="s">
        <v>463</v>
      </c>
      <c r="B104">
        <v>4</v>
      </c>
      <c r="C104" t="s">
        <v>11</v>
      </c>
      <c r="D104" t="s">
        <v>467</v>
      </c>
      <c r="E104" t="s">
        <v>422</v>
      </c>
    </row>
    <row r="105" spans="1:5" x14ac:dyDescent="0.25">
      <c r="A105" t="s">
        <v>463</v>
      </c>
      <c r="B105">
        <v>5</v>
      </c>
      <c r="C105" t="s">
        <v>11</v>
      </c>
      <c r="D105" t="s">
        <v>468</v>
      </c>
      <c r="E105" t="s">
        <v>424</v>
      </c>
    </row>
    <row r="106" spans="1:5" x14ac:dyDescent="0.25">
      <c r="A106" t="s">
        <v>463</v>
      </c>
      <c r="B106">
        <v>6</v>
      </c>
      <c r="C106" t="s">
        <v>11</v>
      </c>
      <c r="D106" t="s">
        <v>469</v>
      </c>
      <c r="E106" t="s">
        <v>426</v>
      </c>
    </row>
    <row r="107" spans="1:5" x14ac:dyDescent="0.25">
      <c r="A107" t="s">
        <v>463</v>
      </c>
      <c r="B107">
        <v>7</v>
      </c>
      <c r="C107" t="s">
        <v>11</v>
      </c>
      <c r="D107" t="s">
        <v>470</v>
      </c>
      <c r="E107" t="s">
        <v>428</v>
      </c>
    </row>
    <row r="108" spans="1:5" x14ac:dyDescent="0.25">
      <c r="A108" t="s">
        <v>463</v>
      </c>
      <c r="B108">
        <v>8</v>
      </c>
      <c r="C108" t="s">
        <v>11</v>
      </c>
      <c r="D108" t="s">
        <v>471</v>
      </c>
      <c r="E108" t="s">
        <v>430</v>
      </c>
    </row>
    <row r="109" spans="1:5" x14ac:dyDescent="0.25">
      <c r="A109" t="s">
        <v>463</v>
      </c>
      <c r="B109">
        <v>9</v>
      </c>
      <c r="C109" t="s">
        <v>11</v>
      </c>
      <c r="D109" t="s">
        <v>472</v>
      </c>
      <c r="E109" t="s">
        <v>432</v>
      </c>
    </row>
    <row r="110" spans="1:5" x14ac:dyDescent="0.25">
      <c r="A110" t="s">
        <v>473</v>
      </c>
      <c r="B110">
        <v>1</v>
      </c>
      <c r="C110" t="s">
        <v>11</v>
      </c>
      <c r="D110" t="s">
        <v>474</v>
      </c>
      <c r="E110" t="s">
        <v>416</v>
      </c>
    </row>
    <row r="111" spans="1:5" x14ac:dyDescent="0.25">
      <c r="A111" t="s">
        <v>473</v>
      </c>
      <c r="B111">
        <v>2</v>
      </c>
      <c r="C111" t="s">
        <v>11</v>
      </c>
      <c r="D111" t="s">
        <v>475</v>
      </c>
      <c r="E111" t="s">
        <v>418</v>
      </c>
    </row>
    <row r="112" spans="1:5" x14ac:dyDescent="0.25">
      <c r="A112" t="s">
        <v>473</v>
      </c>
      <c r="B112">
        <v>3</v>
      </c>
      <c r="C112" t="s">
        <v>11</v>
      </c>
      <c r="D112" t="s">
        <v>476</v>
      </c>
      <c r="E112" t="s">
        <v>420</v>
      </c>
    </row>
    <row r="113" spans="1:5" x14ac:dyDescent="0.25">
      <c r="A113" t="s">
        <v>473</v>
      </c>
      <c r="B113">
        <v>4</v>
      </c>
      <c r="C113" t="s">
        <v>11</v>
      </c>
      <c r="D113" t="s">
        <v>477</v>
      </c>
      <c r="E113" t="s">
        <v>422</v>
      </c>
    </row>
    <row r="114" spans="1:5" x14ac:dyDescent="0.25">
      <c r="A114" t="s">
        <v>473</v>
      </c>
      <c r="B114">
        <v>5</v>
      </c>
      <c r="C114" t="s">
        <v>11</v>
      </c>
      <c r="D114" t="s">
        <v>478</v>
      </c>
      <c r="E114" t="s">
        <v>424</v>
      </c>
    </row>
    <row r="115" spans="1:5" x14ac:dyDescent="0.25">
      <c r="A115" t="s">
        <v>473</v>
      </c>
      <c r="B115">
        <v>6</v>
      </c>
      <c r="C115" t="s">
        <v>11</v>
      </c>
      <c r="D115" t="s">
        <v>479</v>
      </c>
      <c r="E115" t="s">
        <v>426</v>
      </c>
    </row>
    <row r="116" spans="1:5" x14ac:dyDescent="0.25">
      <c r="A116" t="s">
        <v>473</v>
      </c>
      <c r="B116">
        <v>7</v>
      </c>
      <c r="C116" t="s">
        <v>11</v>
      </c>
      <c r="D116" t="s">
        <v>480</v>
      </c>
      <c r="E116" t="s">
        <v>428</v>
      </c>
    </row>
    <row r="117" spans="1:5" x14ac:dyDescent="0.25">
      <c r="A117" t="s">
        <v>473</v>
      </c>
      <c r="B117">
        <v>8</v>
      </c>
      <c r="C117" t="s">
        <v>11</v>
      </c>
      <c r="D117" t="s">
        <v>481</v>
      </c>
      <c r="E117" t="s">
        <v>430</v>
      </c>
    </row>
    <row r="118" spans="1:5" x14ac:dyDescent="0.25">
      <c r="A118" t="s">
        <v>473</v>
      </c>
      <c r="B118">
        <v>9</v>
      </c>
      <c r="C118" t="s">
        <v>11</v>
      </c>
      <c r="D118" t="s">
        <v>482</v>
      </c>
      <c r="E118" t="s">
        <v>432</v>
      </c>
    </row>
    <row r="119" spans="1:5" x14ac:dyDescent="0.25">
      <c r="A119" t="s">
        <v>483</v>
      </c>
      <c r="B119">
        <v>1</v>
      </c>
      <c r="C119" t="s">
        <v>11</v>
      </c>
      <c r="D119" t="s">
        <v>484</v>
      </c>
      <c r="E119" t="s">
        <v>54</v>
      </c>
    </row>
    <row r="120" spans="1:5" x14ac:dyDescent="0.25">
      <c r="A120" t="s">
        <v>483</v>
      </c>
      <c r="B120">
        <v>2</v>
      </c>
      <c r="C120" t="s">
        <v>11</v>
      </c>
      <c r="D120" t="s">
        <v>485</v>
      </c>
      <c r="E120" t="s">
        <v>55</v>
      </c>
    </row>
    <row r="121" spans="1:5" x14ac:dyDescent="0.25">
      <c r="A121" t="s">
        <v>483</v>
      </c>
      <c r="B121">
        <v>3</v>
      </c>
      <c r="C121" t="s">
        <v>11</v>
      </c>
      <c r="D121" t="s">
        <v>486</v>
      </c>
      <c r="E121" t="s">
        <v>56</v>
      </c>
    </row>
    <row r="122" spans="1:5" x14ac:dyDescent="0.25">
      <c r="A122" t="s">
        <v>483</v>
      </c>
      <c r="B122">
        <v>4</v>
      </c>
      <c r="C122" t="s">
        <v>11</v>
      </c>
      <c r="D122" t="s">
        <v>487</v>
      </c>
      <c r="E122" t="s">
        <v>57</v>
      </c>
    </row>
    <row r="123" spans="1:5" x14ac:dyDescent="0.25">
      <c r="A123" t="s">
        <v>483</v>
      </c>
      <c r="B123">
        <v>5</v>
      </c>
      <c r="C123" t="s">
        <v>11</v>
      </c>
      <c r="D123" t="s">
        <v>488</v>
      </c>
      <c r="E123" t="s">
        <v>58</v>
      </c>
    </row>
    <row r="124" spans="1:5" x14ac:dyDescent="0.25">
      <c r="A124" t="s">
        <v>483</v>
      </c>
      <c r="B124">
        <v>6</v>
      </c>
      <c r="C124" t="s">
        <v>11</v>
      </c>
      <c r="D124" t="s">
        <v>489</v>
      </c>
      <c r="E124" t="s">
        <v>59</v>
      </c>
    </row>
    <row r="125" spans="1:5" x14ac:dyDescent="0.25">
      <c r="A125" t="s">
        <v>483</v>
      </c>
      <c r="B125">
        <v>7</v>
      </c>
      <c r="C125" t="s">
        <v>11</v>
      </c>
      <c r="D125" t="s">
        <v>490</v>
      </c>
      <c r="E125" t="s">
        <v>60</v>
      </c>
    </row>
    <row r="126" spans="1:5" x14ac:dyDescent="0.25">
      <c r="A126" t="s">
        <v>483</v>
      </c>
      <c r="B126">
        <v>8</v>
      </c>
      <c r="C126" t="s">
        <v>11</v>
      </c>
      <c r="D126" t="s">
        <v>491</v>
      </c>
      <c r="E126" t="s">
        <v>61</v>
      </c>
    </row>
    <row r="127" spans="1:5" x14ac:dyDescent="0.25">
      <c r="A127" t="s">
        <v>483</v>
      </c>
      <c r="B127">
        <v>9</v>
      </c>
      <c r="C127" t="s">
        <v>11</v>
      </c>
      <c r="D127" t="s">
        <v>492</v>
      </c>
      <c r="E127" t="s">
        <v>62</v>
      </c>
    </row>
    <row r="128" spans="1:5" x14ac:dyDescent="0.25">
      <c r="A128" t="s">
        <v>483</v>
      </c>
      <c r="B128">
        <v>10</v>
      </c>
      <c r="C128" t="s">
        <v>11</v>
      </c>
      <c r="D128" t="s">
        <v>493</v>
      </c>
      <c r="E128" t="s">
        <v>63</v>
      </c>
    </row>
    <row r="129" spans="1:5" x14ac:dyDescent="0.25">
      <c r="A129" t="s">
        <v>483</v>
      </c>
      <c r="B129">
        <v>11</v>
      </c>
      <c r="C129" t="s">
        <v>11</v>
      </c>
      <c r="D129" t="s">
        <v>494</v>
      </c>
      <c r="E129" t="s">
        <v>64</v>
      </c>
    </row>
    <row r="130" spans="1:5" x14ac:dyDescent="0.25">
      <c r="A130" t="s">
        <v>483</v>
      </c>
      <c r="B130">
        <v>12</v>
      </c>
      <c r="C130" t="s">
        <v>11</v>
      </c>
      <c r="D130" t="s">
        <v>495</v>
      </c>
      <c r="E130" t="s">
        <v>65</v>
      </c>
    </row>
    <row r="131" spans="1:5" x14ac:dyDescent="0.25">
      <c r="A131" t="s">
        <v>483</v>
      </c>
      <c r="B131">
        <v>13</v>
      </c>
      <c r="C131" t="s">
        <v>11</v>
      </c>
      <c r="D131" t="s">
        <v>496</v>
      </c>
      <c r="E131" t="s">
        <v>66</v>
      </c>
    </row>
    <row r="132" spans="1:5" x14ac:dyDescent="0.25">
      <c r="A132" t="s">
        <v>483</v>
      </c>
      <c r="B132">
        <v>100</v>
      </c>
      <c r="C132" t="s">
        <v>11</v>
      </c>
      <c r="D132" t="s">
        <v>497</v>
      </c>
      <c r="E132" t="s">
        <v>498</v>
      </c>
    </row>
    <row r="133" spans="1:5" x14ac:dyDescent="0.25">
      <c r="A133" t="s">
        <v>483</v>
      </c>
      <c r="B133">
        <v>0</v>
      </c>
      <c r="C133" t="s">
        <v>11</v>
      </c>
      <c r="D133" t="s">
        <v>499</v>
      </c>
      <c r="E133" t="s">
        <v>500</v>
      </c>
    </row>
    <row r="134" spans="1:5" x14ac:dyDescent="0.25">
      <c r="A134" t="s">
        <v>501</v>
      </c>
      <c r="B134">
        <v>1</v>
      </c>
      <c r="C134" t="s">
        <v>11</v>
      </c>
      <c r="D134" t="s">
        <v>502</v>
      </c>
      <c r="E134" t="s">
        <v>54</v>
      </c>
    </row>
    <row r="135" spans="1:5" x14ac:dyDescent="0.25">
      <c r="A135" t="s">
        <v>501</v>
      </c>
      <c r="B135">
        <v>2</v>
      </c>
      <c r="C135" t="s">
        <v>11</v>
      </c>
      <c r="D135" t="s">
        <v>503</v>
      </c>
      <c r="E135" t="s">
        <v>55</v>
      </c>
    </row>
    <row r="136" spans="1:5" x14ac:dyDescent="0.25">
      <c r="A136" t="s">
        <v>501</v>
      </c>
      <c r="B136">
        <v>3</v>
      </c>
      <c r="C136" t="s">
        <v>11</v>
      </c>
      <c r="D136" t="s">
        <v>504</v>
      </c>
      <c r="E136" t="s">
        <v>56</v>
      </c>
    </row>
    <row r="137" spans="1:5" x14ac:dyDescent="0.25">
      <c r="A137" t="s">
        <v>501</v>
      </c>
      <c r="B137">
        <v>4</v>
      </c>
      <c r="C137" t="s">
        <v>11</v>
      </c>
      <c r="D137" t="s">
        <v>505</v>
      </c>
      <c r="E137" t="s">
        <v>57</v>
      </c>
    </row>
    <row r="138" spans="1:5" x14ac:dyDescent="0.25">
      <c r="A138" t="s">
        <v>501</v>
      </c>
      <c r="B138">
        <v>5</v>
      </c>
      <c r="C138" t="s">
        <v>11</v>
      </c>
      <c r="D138" t="s">
        <v>506</v>
      </c>
      <c r="E138" t="s">
        <v>58</v>
      </c>
    </row>
    <row r="139" spans="1:5" x14ac:dyDescent="0.25">
      <c r="A139" t="s">
        <v>501</v>
      </c>
      <c r="B139">
        <v>6</v>
      </c>
      <c r="C139" t="s">
        <v>11</v>
      </c>
      <c r="D139" t="s">
        <v>507</v>
      </c>
      <c r="E139" t="s">
        <v>59</v>
      </c>
    </row>
    <row r="140" spans="1:5" x14ac:dyDescent="0.25">
      <c r="A140" t="s">
        <v>501</v>
      </c>
      <c r="B140">
        <v>7</v>
      </c>
      <c r="C140" t="s">
        <v>11</v>
      </c>
      <c r="D140" t="s">
        <v>508</v>
      </c>
      <c r="E140" t="s">
        <v>60</v>
      </c>
    </row>
    <row r="141" spans="1:5" x14ac:dyDescent="0.25">
      <c r="A141" t="s">
        <v>501</v>
      </c>
      <c r="B141">
        <v>8</v>
      </c>
      <c r="C141" t="s">
        <v>11</v>
      </c>
      <c r="D141" t="s">
        <v>509</v>
      </c>
      <c r="E141" t="s">
        <v>61</v>
      </c>
    </row>
    <row r="142" spans="1:5" x14ac:dyDescent="0.25">
      <c r="A142" t="s">
        <v>501</v>
      </c>
      <c r="B142">
        <v>9</v>
      </c>
      <c r="C142" t="s">
        <v>11</v>
      </c>
      <c r="D142" t="s">
        <v>510</v>
      </c>
      <c r="E142" t="s">
        <v>62</v>
      </c>
    </row>
    <row r="143" spans="1:5" x14ac:dyDescent="0.25">
      <c r="A143" t="s">
        <v>501</v>
      </c>
      <c r="B143">
        <v>10</v>
      </c>
      <c r="C143" t="s">
        <v>11</v>
      </c>
      <c r="D143" t="s">
        <v>511</v>
      </c>
      <c r="E143" t="s">
        <v>63</v>
      </c>
    </row>
    <row r="144" spans="1:5" x14ac:dyDescent="0.25">
      <c r="A144" t="s">
        <v>501</v>
      </c>
      <c r="B144">
        <v>11</v>
      </c>
      <c r="C144" t="s">
        <v>11</v>
      </c>
      <c r="D144" t="s">
        <v>512</v>
      </c>
      <c r="E144" t="s">
        <v>64</v>
      </c>
    </row>
    <row r="145" spans="1:5" x14ac:dyDescent="0.25">
      <c r="A145" t="s">
        <v>501</v>
      </c>
      <c r="B145">
        <v>12</v>
      </c>
      <c r="C145" t="s">
        <v>11</v>
      </c>
      <c r="D145" t="s">
        <v>513</v>
      </c>
      <c r="E145" t="s">
        <v>65</v>
      </c>
    </row>
    <row r="146" spans="1:5" x14ac:dyDescent="0.25">
      <c r="A146" t="s">
        <v>501</v>
      </c>
      <c r="B146">
        <v>13</v>
      </c>
      <c r="C146" t="s">
        <v>11</v>
      </c>
      <c r="D146" t="s">
        <v>514</v>
      </c>
      <c r="E146" t="s">
        <v>66</v>
      </c>
    </row>
    <row r="147" spans="1:5" x14ac:dyDescent="0.25">
      <c r="A147" t="s">
        <v>501</v>
      </c>
      <c r="B147">
        <v>100</v>
      </c>
      <c r="C147" t="s">
        <v>11</v>
      </c>
      <c r="D147" t="s">
        <v>515</v>
      </c>
      <c r="E147" t="s">
        <v>498</v>
      </c>
    </row>
    <row r="148" spans="1:5" x14ac:dyDescent="0.25">
      <c r="A148" t="s">
        <v>501</v>
      </c>
      <c r="B148">
        <v>0</v>
      </c>
      <c r="C148" t="s">
        <v>11</v>
      </c>
      <c r="D148" t="s">
        <v>516</v>
      </c>
      <c r="E148" t="s">
        <v>500</v>
      </c>
    </row>
    <row r="149" spans="1:5" x14ac:dyDescent="0.25">
      <c r="A149" t="s">
        <v>517</v>
      </c>
      <c r="B149">
        <v>1</v>
      </c>
      <c r="C149" t="s">
        <v>11</v>
      </c>
      <c r="D149" t="s">
        <v>518</v>
      </c>
      <c r="E149" t="s">
        <v>54</v>
      </c>
    </row>
    <row r="150" spans="1:5" x14ac:dyDescent="0.25">
      <c r="A150" t="s">
        <v>517</v>
      </c>
      <c r="B150">
        <v>2</v>
      </c>
      <c r="C150" t="s">
        <v>11</v>
      </c>
      <c r="D150" t="s">
        <v>519</v>
      </c>
      <c r="E150" t="s">
        <v>55</v>
      </c>
    </row>
    <row r="151" spans="1:5" x14ac:dyDescent="0.25">
      <c r="A151" t="s">
        <v>517</v>
      </c>
      <c r="B151">
        <v>3</v>
      </c>
      <c r="C151" t="s">
        <v>11</v>
      </c>
      <c r="D151" t="s">
        <v>520</v>
      </c>
      <c r="E151" t="s">
        <v>56</v>
      </c>
    </row>
    <row r="152" spans="1:5" x14ac:dyDescent="0.25">
      <c r="A152" t="s">
        <v>517</v>
      </c>
      <c r="B152">
        <v>4</v>
      </c>
      <c r="C152" t="s">
        <v>11</v>
      </c>
      <c r="D152" t="s">
        <v>521</v>
      </c>
      <c r="E152" t="s">
        <v>57</v>
      </c>
    </row>
    <row r="153" spans="1:5" x14ac:dyDescent="0.25">
      <c r="A153" t="s">
        <v>517</v>
      </c>
      <c r="B153">
        <v>5</v>
      </c>
      <c r="C153" t="s">
        <v>11</v>
      </c>
      <c r="D153" t="s">
        <v>522</v>
      </c>
      <c r="E153" t="s">
        <v>58</v>
      </c>
    </row>
    <row r="154" spans="1:5" x14ac:dyDescent="0.25">
      <c r="A154" t="s">
        <v>517</v>
      </c>
      <c r="B154">
        <v>6</v>
      </c>
      <c r="C154" t="s">
        <v>11</v>
      </c>
      <c r="D154" t="s">
        <v>523</v>
      </c>
      <c r="E154" t="s">
        <v>59</v>
      </c>
    </row>
    <row r="155" spans="1:5" x14ac:dyDescent="0.25">
      <c r="A155" t="s">
        <v>517</v>
      </c>
      <c r="B155">
        <v>7</v>
      </c>
      <c r="C155" t="s">
        <v>11</v>
      </c>
      <c r="D155" t="s">
        <v>524</v>
      </c>
      <c r="E155" t="s">
        <v>60</v>
      </c>
    </row>
    <row r="156" spans="1:5" x14ac:dyDescent="0.25">
      <c r="A156" t="s">
        <v>517</v>
      </c>
      <c r="B156">
        <v>8</v>
      </c>
      <c r="C156" t="s">
        <v>11</v>
      </c>
      <c r="D156" t="s">
        <v>525</v>
      </c>
      <c r="E156" t="s">
        <v>61</v>
      </c>
    </row>
    <row r="157" spans="1:5" x14ac:dyDescent="0.25">
      <c r="A157" t="s">
        <v>517</v>
      </c>
      <c r="B157">
        <v>9</v>
      </c>
      <c r="C157" t="s">
        <v>11</v>
      </c>
      <c r="D157" t="s">
        <v>526</v>
      </c>
      <c r="E157" t="s">
        <v>62</v>
      </c>
    </row>
    <row r="158" spans="1:5" x14ac:dyDescent="0.25">
      <c r="A158" t="s">
        <v>517</v>
      </c>
      <c r="B158">
        <v>10</v>
      </c>
      <c r="C158" t="s">
        <v>11</v>
      </c>
      <c r="D158" t="s">
        <v>527</v>
      </c>
      <c r="E158" t="s">
        <v>63</v>
      </c>
    </row>
    <row r="159" spans="1:5" x14ac:dyDescent="0.25">
      <c r="A159" t="s">
        <v>517</v>
      </c>
      <c r="B159">
        <v>11</v>
      </c>
      <c r="C159" t="s">
        <v>11</v>
      </c>
      <c r="D159" t="s">
        <v>528</v>
      </c>
      <c r="E159" t="s">
        <v>64</v>
      </c>
    </row>
    <row r="160" spans="1:5" x14ac:dyDescent="0.25">
      <c r="A160" t="s">
        <v>517</v>
      </c>
      <c r="B160">
        <v>12</v>
      </c>
      <c r="C160" t="s">
        <v>11</v>
      </c>
      <c r="D160" t="s">
        <v>529</v>
      </c>
      <c r="E160" t="s">
        <v>65</v>
      </c>
    </row>
    <row r="161" spans="1:5" x14ac:dyDescent="0.25">
      <c r="A161" t="s">
        <v>517</v>
      </c>
      <c r="B161">
        <v>13</v>
      </c>
      <c r="C161" t="s">
        <v>11</v>
      </c>
      <c r="D161" t="s">
        <v>530</v>
      </c>
      <c r="E161" t="s">
        <v>66</v>
      </c>
    </row>
    <row r="162" spans="1:5" x14ac:dyDescent="0.25">
      <c r="A162" t="s">
        <v>517</v>
      </c>
      <c r="B162">
        <v>100</v>
      </c>
      <c r="C162" t="s">
        <v>11</v>
      </c>
      <c r="D162" t="s">
        <v>531</v>
      </c>
      <c r="E162" t="s">
        <v>498</v>
      </c>
    </row>
    <row r="163" spans="1:5" x14ac:dyDescent="0.25">
      <c r="A163" t="s">
        <v>517</v>
      </c>
      <c r="B163">
        <v>0</v>
      </c>
      <c r="C163" t="s">
        <v>11</v>
      </c>
      <c r="D163" t="s">
        <v>532</v>
      </c>
      <c r="E163" t="s">
        <v>500</v>
      </c>
    </row>
    <row r="164" spans="1:5" x14ac:dyDescent="0.25">
      <c r="A164" t="s">
        <v>533</v>
      </c>
      <c r="B164">
        <v>1</v>
      </c>
      <c r="C164" t="s">
        <v>11</v>
      </c>
      <c r="D164" t="s">
        <v>534</v>
      </c>
      <c r="E164" t="s">
        <v>54</v>
      </c>
    </row>
    <row r="165" spans="1:5" x14ac:dyDescent="0.25">
      <c r="A165" t="s">
        <v>533</v>
      </c>
      <c r="B165">
        <v>2</v>
      </c>
      <c r="C165" t="s">
        <v>11</v>
      </c>
      <c r="D165" t="s">
        <v>535</v>
      </c>
      <c r="E165" t="s">
        <v>55</v>
      </c>
    </row>
    <row r="166" spans="1:5" x14ac:dyDescent="0.25">
      <c r="A166" t="s">
        <v>533</v>
      </c>
      <c r="B166">
        <v>3</v>
      </c>
      <c r="C166" t="s">
        <v>11</v>
      </c>
      <c r="D166" t="s">
        <v>536</v>
      </c>
      <c r="E166" t="s">
        <v>56</v>
      </c>
    </row>
    <row r="167" spans="1:5" x14ac:dyDescent="0.25">
      <c r="A167" t="s">
        <v>533</v>
      </c>
      <c r="B167">
        <v>4</v>
      </c>
      <c r="C167" t="s">
        <v>11</v>
      </c>
      <c r="D167" t="s">
        <v>537</v>
      </c>
      <c r="E167" t="s">
        <v>57</v>
      </c>
    </row>
    <row r="168" spans="1:5" x14ac:dyDescent="0.25">
      <c r="A168" t="s">
        <v>533</v>
      </c>
      <c r="B168">
        <v>5</v>
      </c>
      <c r="C168" t="s">
        <v>11</v>
      </c>
      <c r="D168" t="s">
        <v>538</v>
      </c>
      <c r="E168" t="s">
        <v>58</v>
      </c>
    </row>
    <row r="169" spans="1:5" x14ac:dyDescent="0.25">
      <c r="A169" t="s">
        <v>533</v>
      </c>
      <c r="B169">
        <v>6</v>
      </c>
      <c r="C169" t="s">
        <v>11</v>
      </c>
      <c r="D169" t="s">
        <v>539</v>
      </c>
      <c r="E169" t="s">
        <v>59</v>
      </c>
    </row>
    <row r="170" spans="1:5" x14ac:dyDescent="0.25">
      <c r="A170" t="s">
        <v>533</v>
      </c>
      <c r="B170">
        <v>7</v>
      </c>
      <c r="C170" t="s">
        <v>11</v>
      </c>
      <c r="D170" t="s">
        <v>540</v>
      </c>
      <c r="E170" t="s">
        <v>60</v>
      </c>
    </row>
    <row r="171" spans="1:5" x14ac:dyDescent="0.25">
      <c r="A171" t="s">
        <v>533</v>
      </c>
      <c r="B171">
        <v>8</v>
      </c>
      <c r="C171" t="s">
        <v>11</v>
      </c>
      <c r="D171" t="s">
        <v>541</v>
      </c>
      <c r="E171" t="s">
        <v>61</v>
      </c>
    </row>
    <row r="172" spans="1:5" x14ac:dyDescent="0.25">
      <c r="A172" t="s">
        <v>533</v>
      </c>
      <c r="B172">
        <v>9</v>
      </c>
      <c r="C172" t="s">
        <v>11</v>
      </c>
      <c r="D172" t="s">
        <v>542</v>
      </c>
      <c r="E172" t="s">
        <v>62</v>
      </c>
    </row>
    <row r="173" spans="1:5" x14ac:dyDescent="0.25">
      <c r="A173" t="s">
        <v>533</v>
      </c>
      <c r="B173">
        <v>10</v>
      </c>
      <c r="C173" t="s">
        <v>11</v>
      </c>
      <c r="D173" t="s">
        <v>543</v>
      </c>
      <c r="E173" t="s">
        <v>63</v>
      </c>
    </row>
    <row r="174" spans="1:5" x14ac:dyDescent="0.25">
      <c r="A174" t="s">
        <v>533</v>
      </c>
      <c r="B174">
        <v>11</v>
      </c>
      <c r="C174" t="s">
        <v>11</v>
      </c>
      <c r="D174" t="s">
        <v>544</v>
      </c>
      <c r="E174" t="s">
        <v>64</v>
      </c>
    </row>
    <row r="175" spans="1:5" x14ac:dyDescent="0.25">
      <c r="A175" t="s">
        <v>533</v>
      </c>
      <c r="B175">
        <v>12</v>
      </c>
      <c r="C175" t="s">
        <v>11</v>
      </c>
      <c r="D175" t="s">
        <v>545</v>
      </c>
      <c r="E175" t="s">
        <v>65</v>
      </c>
    </row>
    <row r="176" spans="1:5" x14ac:dyDescent="0.25">
      <c r="A176" t="s">
        <v>533</v>
      </c>
      <c r="B176">
        <v>13</v>
      </c>
      <c r="C176" t="s">
        <v>11</v>
      </c>
      <c r="D176" t="s">
        <v>546</v>
      </c>
      <c r="E176" t="s">
        <v>66</v>
      </c>
    </row>
    <row r="177" spans="1:5" x14ac:dyDescent="0.25">
      <c r="A177" t="s">
        <v>533</v>
      </c>
      <c r="B177">
        <v>100</v>
      </c>
      <c r="C177" t="s">
        <v>11</v>
      </c>
      <c r="D177" t="s">
        <v>547</v>
      </c>
      <c r="E177" t="s">
        <v>498</v>
      </c>
    </row>
    <row r="178" spans="1:5" x14ac:dyDescent="0.25">
      <c r="A178" t="s">
        <v>533</v>
      </c>
      <c r="B178">
        <v>0</v>
      </c>
      <c r="C178" t="s">
        <v>11</v>
      </c>
      <c r="D178" t="s">
        <v>548</v>
      </c>
      <c r="E178" t="s">
        <v>500</v>
      </c>
    </row>
    <row r="179" spans="1:5" x14ac:dyDescent="0.25">
      <c r="A179" t="s">
        <v>549</v>
      </c>
      <c r="B179">
        <v>1</v>
      </c>
      <c r="C179" t="s">
        <v>11</v>
      </c>
      <c r="D179" t="s">
        <v>550</v>
      </c>
      <c r="E179" t="s">
        <v>54</v>
      </c>
    </row>
    <row r="180" spans="1:5" x14ac:dyDescent="0.25">
      <c r="A180" t="s">
        <v>549</v>
      </c>
      <c r="B180">
        <v>2</v>
      </c>
      <c r="C180" t="s">
        <v>11</v>
      </c>
      <c r="D180" t="s">
        <v>551</v>
      </c>
      <c r="E180" t="s">
        <v>55</v>
      </c>
    </row>
    <row r="181" spans="1:5" x14ac:dyDescent="0.25">
      <c r="A181" t="s">
        <v>549</v>
      </c>
      <c r="B181">
        <v>3</v>
      </c>
      <c r="C181" t="s">
        <v>11</v>
      </c>
      <c r="D181" t="s">
        <v>552</v>
      </c>
      <c r="E181" t="s">
        <v>56</v>
      </c>
    </row>
    <row r="182" spans="1:5" x14ac:dyDescent="0.25">
      <c r="A182" t="s">
        <v>549</v>
      </c>
      <c r="B182">
        <v>4</v>
      </c>
      <c r="C182" t="s">
        <v>11</v>
      </c>
      <c r="D182" t="s">
        <v>553</v>
      </c>
      <c r="E182" t="s">
        <v>57</v>
      </c>
    </row>
    <row r="183" spans="1:5" x14ac:dyDescent="0.25">
      <c r="A183" t="s">
        <v>549</v>
      </c>
      <c r="B183">
        <v>5</v>
      </c>
      <c r="C183" t="s">
        <v>11</v>
      </c>
      <c r="D183" t="s">
        <v>554</v>
      </c>
      <c r="E183" t="s">
        <v>58</v>
      </c>
    </row>
    <row r="184" spans="1:5" x14ac:dyDescent="0.25">
      <c r="A184" t="s">
        <v>549</v>
      </c>
      <c r="B184">
        <v>6</v>
      </c>
      <c r="C184" t="s">
        <v>11</v>
      </c>
      <c r="D184" t="s">
        <v>555</v>
      </c>
      <c r="E184" t="s">
        <v>59</v>
      </c>
    </row>
    <row r="185" spans="1:5" x14ac:dyDescent="0.25">
      <c r="A185" t="s">
        <v>549</v>
      </c>
      <c r="B185">
        <v>7</v>
      </c>
      <c r="C185" t="s">
        <v>11</v>
      </c>
      <c r="D185" t="s">
        <v>556</v>
      </c>
      <c r="E185" t="s">
        <v>60</v>
      </c>
    </row>
    <row r="186" spans="1:5" x14ac:dyDescent="0.25">
      <c r="A186" t="s">
        <v>549</v>
      </c>
      <c r="B186">
        <v>8</v>
      </c>
      <c r="C186" t="s">
        <v>11</v>
      </c>
      <c r="D186" t="s">
        <v>557</v>
      </c>
      <c r="E186" t="s">
        <v>61</v>
      </c>
    </row>
    <row r="187" spans="1:5" x14ac:dyDescent="0.25">
      <c r="A187" t="s">
        <v>549</v>
      </c>
      <c r="B187">
        <v>9</v>
      </c>
      <c r="C187" t="s">
        <v>11</v>
      </c>
      <c r="D187" t="s">
        <v>558</v>
      </c>
      <c r="E187" t="s">
        <v>62</v>
      </c>
    </row>
    <row r="188" spans="1:5" x14ac:dyDescent="0.25">
      <c r="A188" t="s">
        <v>549</v>
      </c>
      <c r="B188">
        <v>10</v>
      </c>
      <c r="C188" t="s">
        <v>11</v>
      </c>
      <c r="D188" t="s">
        <v>559</v>
      </c>
      <c r="E188" t="s">
        <v>63</v>
      </c>
    </row>
    <row r="189" spans="1:5" x14ac:dyDescent="0.25">
      <c r="A189" t="s">
        <v>549</v>
      </c>
      <c r="B189">
        <v>11</v>
      </c>
      <c r="C189" t="s">
        <v>11</v>
      </c>
      <c r="D189" t="s">
        <v>560</v>
      </c>
      <c r="E189" t="s">
        <v>64</v>
      </c>
    </row>
    <row r="190" spans="1:5" x14ac:dyDescent="0.25">
      <c r="A190" t="s">
        <v>549</v>
      </c>
      <c r="B190">
        <v>12</v>
      </c>
      <c r="C190" t="s">
        <v>11</v>
      </c>
      <c r="D190" t="s">
        <v>561</v>
      </c>
      <c r="E190" t="s">
        <v>65</v>
      </c>
    </row>
    <row r="191" spans="1:5" x14ac:dyDescent="0.25">
      <c r="A191" t="s">
        <v>549</v>
      </c>
      <c r="B191">
        <v>13</v>
      </c>
      <c r="C191" t="s">
        <v>11</v>
      </c>
      <c r="D191" t="s">
        <v>562</v>
      </c>
      <c r="E191" t="s">
        <v>66</v>
      </c>
    </row>
    <row r="192" spans="1:5" x14ac:dyDescent="0.25">
      <c r="A192" t="s">
        <v>549</v>
      </c>
      <c r="B192">
        <v>100</v>
      </c>
      <c r="C192" t="s">
        <v>11</v>
      </c>
      <c r="D192" t="s">
        <v>563</v>
      </c>
      <c r="E192" t="s">
        <v>498</v>
      </c>
    </row>
    <row r="193" spans="1:5" x14ac:dyDescent="0.25">
      <c r="A193" t="s">
        <v>549</v>
      </c>
      <c r="B193">
        <v>0</v>
      </c>
      <c r="C193" t="s">
        <v>11</v>
      </c>
      <c r="D193" t="s">
        <v>564</v>
      </c>
      <c r="E193" t="s">
        <v>500</v>
      </c>
    </row>
    <row r="194" spans="1:5" x14ac:dyDescent="0.25">
      <c r="A194" t="s">
        <v>565</v>
      </c>
      <c r="B194">
        <v>1</v>
      </c>
      <c r="C194" t="s">
        <v>11</v>
      </c>
      <c r="D194" t="s">
        <v>566</v>
      </c>
      <c r="E194" t="s">
        <v>54</v>
      </c>
    </row>
    <row r="195" spans="1:5" x14ac:dyDescent="0.25">
      <c r="A195" t="s">
        <v>565</v>
      </c>
      <c r="B195">
        <v>2</v>
      </c>
      <c r="C195" t="s">
        <v>11</v>
      </c>
      <c r="D195" t="s">
        <v>567</v>
      </c>
      <c r="E195" t="s">
        <v>55</v>
      </c>
    </row>
    <row r="196" spans="1:5" x14ac:dyDescent="0.25">
      <c r="A196" t="s">
        <v>565</v>
      </c>
      <c r="B196">
        <v>3</v>
      </c>
      <c r="C196" t="s">
        <v>11</v>
      </c>
      <c r="D196" t="s">
        <v>568</v>
      </c>
      <c r="E196" t="s">
        <v>56</v>
      </c>
    </row>
    <row r="197" spans="1:5" x14ac:dyDescent="0.25">
      <c r="A197" t="s">
        <v>565</v>
      </c>
      <c r="B197">
        <v>4</v>
      </c>
      <c r="C197" t="s">
        <v>11</v>
      </c>
      <c r="D197" t="s">
        <v>569</v>
      </c>
      <c r="E197" t="s">
        <v>57</v>
      </c>
    </row>
    <row r="198" spans="1:5" x14ac:dyDescent="0.25">
      <c r="A198" t="s">
        <v>565</v>
      </c>
      <c r="B198">
        <v>5</v>
      </c>
      <c r="C198" t="s">
        <v>11</v>
      </c>
      <c r="D198" t="s">
        <v>570</v>
      </c>
      <c r="E198" t="s">
        <v>58</v>
      </c>
    </row>
    <row r="199" spans="1:5" x14ac:dyDescent="0.25">
      <c r="A199" t="s">
        <v>565</v>
      </c>
      <c r="B199">
        <v>6</v>
      </c>
      <c r="C199" t="s">
        <v>11</v>
      </c>
      <c r="D199" t="s">
        <v>571</v>
      </c>
      <c r="E199" t="s">
        <v>59</v>
      </c>
    </row>
    <row r="200" spans="1:5" x14ac:dyDescent="0.25">
      <c r="A200" t="s">
        <v>565</v>
      </c>
      <c r="B200">
        <v>7</v>
      </c>
      <c r="C200" t="s">
        <v>11</v>
      </c>
      <c r="D200" t="s">
        <v>572</v>
      </c>
      <c r="E200" t="s">
        <v>60</v>
      </c>
    </row>
    <row r="201" spans="1:5" x14ac:dyDescent="0.25">
      <c r="A201" t="s">
        <v>565</v>
      </c>
      <c r="B201">
        <v>8</v>
      </c>
      <c r="C201" t="s">
        <v>11</v>
      </c>
      <c r="D201" t="s">
        <v>573</v>
      </c>
      <c r="E201" t="s">
        <v>61</v>
      </c>
    </row>
    <row r="202" spans="1:5" x14ac:dyDescent="0.25">
      <c r="A202" t="s">
        <v>565</v>
      </c>
      <c r="B202">
        <v>9</v>
      </c>
      <c r="C202" t="s">
        <v>11</v>
      </c>
      <c r="D202" t="s">
        <v>574</v>
      </c>
      <c r="E202" t="s">
        <v>62</v>
      </c>
    </row>
    <row r="203" spans="1:5" x14ac:dyDescent="0.25">
      <c r="A203" t="s">
        <v>565</v>
      </c>
      <c r="B203">
        <v>10</v>
      </c>
      <c r="C203" t="s">
        <v>11</v>
      </c>
      <c r="D203" t="s">
        <v>575</v>
      </c>
      <c r="E203" t="s">
        <v>63</v>
      </c>
    </row>
    <row r="204" spans="1:5" x14ac:dyDescent="0.25">
      <c r="A204" t="s">
        <v>565</v>
      </c>
      <c r="B204">
        <v>11</v>
      </c>
      <c r="C204" t="s">
        <v>11</v>
      </c>
      <c r="D204" t="s">
        <v>576</v>
      </c>
      <c r="E204" t="s">
        <v>64</v>
      </c>
    </row>
    <row r="205" spans="1:5" x14ac:dyDescent="0.25">
      <c r="A205" t="s">
        <v>565</v>
      </c>
      <c r="B205">
        <v>12</v>
      </c>
      <c r="C205" t="s">
        <v>11</v>
      </c>
      <c r="D205" t="s">
        <v>577</v>
      </c>
      <c r="E205" t="s">
        <v>65</v>
      </c>
    </row>
    <row r="206" spans="1:5" x14ac:dyDescent="0.25">
      <c r="A206" t="s">
        <v>565</v>
      </c>
      <c r="B206">
        <v>13</v>
      </c>
      <c r="C206" t="s">
        <v>11</v>
      </c>
      <c r="D206" t="s">
        <v>578</v>
      </c>
      <c r="E206" t="s">
        <v>66</v>
      </c>
    </row>
    <row r="207" spans="1:5" x14ac:dyDescent="0.25">
      <c r="A207" t="s">
        <v>565</v>
      </c>
      <c r="B207">
        <v>100</v>
      </c>
      <c r="C207" t="s">
        <v>11</v>
      </c>
      <c r="D207" t="s">
        <v>579</v>
      </c>
      <c r="E207" t="s">
        <v>498</v>
      </c>
    </row>
    <row r="208" spans="1:5" x14ac:dyDescent="0.25">
      <c r="A208" t="s">
        <v>565</v>
      </c>
      <c r="B208">
        <v>0</v>
      </c>
      <c r="C208" t="s">
        <v>11</v>
      </c>
      <c r="D208" t="s">
        <v>580</v>
      </c>
      <c r="E208" t="s">
        <v>500</v>
      </c>
    </row>
    <row r="209" spans="1:5" x14ac:dyDescent="0.25">
      <c r="A209" t="s">
        <v>581</v>
      </c>
      <c r="B209">
        <v>1</v>
      </c>
      <c r="C209" t="s">
        <v>11</v>
      </c>
      <c r="D209" t="s">
        <v>582</v>
      </c>
      <c r="E209" t="s">
        <v>99</v>
      </c>
    </row>
    <row r="210" spans="1:5" x14ac:dyDescent="0.25">
      <c r="A210" t="s">
        <v>581</v>
      </c>
      <c r="B210">
        <v>2</v>
      </c>
      <c r="C210" t="s">
        <v>11</v>
      </c>
      <c r="D210" t="s">
        <v>583</v>
      </c>
      <c r="E210" t="s">
        <v>100</v>
      </c>
    </row>
    <row r="211" spans="1:5" x14ac:dyDescent="0.25">
      <c r="A211" t="s">
        <v>581</v>
      </c>
      <c r="B211">
        <v>3</v>
      </c>
      <c r="C211" t="s">
        <v>11</v>
      </c>
      <c r="D211" t="s">
        <v>584</v>
      </c>
      <c r="E211" t="s">
        <v>101</v>
      </c>
    </row>
    <row r="212" spans="1:5" x14ac:dyDescent="0.25">
      <c r="A212" t="s">
        <v>581</v>
      </c>
      <c r="B212">
        <v>4</v>
      </c>
      <c r="C212" t="s">
        <v>11</v>
      </c>
      <c r="D212" t="s">
        <v>585</v>
      </c>
      <c r="E212" t="s">
        <v>102</v>
      </c>
    </row>
    <row r="213" spans="1:5" x14ac:dyDescent="0.25">
      <c r="A213" t="s">
        <v>581</v>
      </c>
      <c r="B213">
        <v>5</v>
      </c>
      <c r="C213" t="s">
        <v>11</v>
      </c>
      <c r="D213" t="s">
        <v>586</v>
      </c>
      <c r="E213" t="s">
        <v>103</v>
      </c>
    </row>
    <row r="214" spans="1:5" x14ac:dyDescent="0.25">
      <c r="A214" t="s">
        <v>581</v>
      </c>
      <c r="B214">
        <v>6</v>
      </c>
      <c r="C214" t="s">
        <v>11</v>
      </c>
      <c r="D214" t="s">
        <v>587</v>
      </c>
      <c r="E214" t="s">
        <v>104</v>
      </c>
    </row>
    <row r="215" spans="1:5" x14ac:dyDescent="0.25">
      <c r="A215" t="s">
        <v>581</v>
      </c>
      <c r="B215">
        <v>0</v>
      </c>
      <c r="C215" t="s">
        <v>11</v>
      </c>
      <c r="D215" t="s">
        <v>588</v>
      </c>
      <c r="E215" t="s">
        <v>589</v>
      </c>
    </row>
    <row r="216" spans="1:5" x14ac:dyDescent="0.25">
      <c r="A216" t="s">
        <v>590</v>
      </c>
      <c r="B216">
        <v>1</v>
      </c>
      <c r="C216" t="s">
        <v>11</v>
      </c>
      <c r="D216" t="s">
        <v>591</v>
      </c>
      <c r="E216" t="s">
        <v>99</v>
      </c>
    </row>
    <row r="217" spans="1:5" x14ac:dyDescent="0.25">
      <c r="A217" t="s">
        <v>590</v>
      </c>
      <c r="B217">
        <v>2</v>
      </c>
      <c r="C217" t="s">
        <v>11</v>
      </c>
      <c r="D217" t="s">
        <v>592</v>
      </c>
      <c r="E217" t="s">
        <v>100</v>
      </c>
    </row>
    <row r="218" spans="1:5" x14ac:dyDescent="0.25">
      <c r="A218" t="s">
        <v>590</v>
      </c>
      <c r="B218">
        <v>3</v>
      </c>
      <c r="C218" t="s">
        <v>11</v>
      </c>
      <c r="D218" t="s">
        <v>593</v>
      </c>
      <c r="E218" t="s">
        <v>101</v>
      </c>
    </row>
    <row r="219" spans="1:5" x14ac:dyDescent="0.25">
      <c r="A219" t="s">
        <v>590</v>
      </c>
      <c r="B219">
        <v>4</v>
      </c>
      <c r="C219" t="s">
        <v>11</v>
      </c>
      <c r="D219" t="s">
        <v>594</v>
      </c>
      <c r="E219" t="s">
        <v>102</v>
      </c>
    </row>
    <row r="220" spans="1:5" x14ac:dyDescent="0.25">
      <c r="A220" t="s">
        <v>590</v>
      </c>
      <c r="B220">
        <v>5</v>
      </c>
      <c r="C220" t="s">
        <v>11</v>
      </c>
      <c r="D220" t="s">
        <v>595</v>
      </c>
      <c r="E220" t="s">
        <v>103</v>
      </c>
    </row>
    <row r="221" spans="1:5" x14ac:dyDescent="0.25">
      <c r="A221" t="s">
        <v>590</v>
      </c>
      <c r="B221">
        <v>6</v>
      </c>
      <c r="C221" t="s">
        <v>11</v>
      </c>
      <c r="D221" t="s">
        <v>596</v>
      </c>
      <c r="E221" t="s">
        <v>104</v>
      </c>
    </row>
    <row r="222" spans="1:5" x14ac:dyDescent="0.25">
      <c r="A222" t="s">
        <v>590</v>
      </c>
      <c r="B222">
        <v>0</v>
      </c>
      <c r="C222" t="s">
        <v>11</v>
      </c>
      <c r="D222" t="s">
        <v>597</v>
      </c>
      <c r="E222" t="s">
        <v>589</v>
      </c>
    </row>
    <row r="223" spans="1:5" x14ac:dyDescent="0.25">
      <c r="A223" t="s">
        <v>598</v>
      </c>
      <c r="B223">
        <v>1</v>
      </c>
      <c r="C223" t="s">
        <v>11</v>
      </c>
      <c r="D223" t="s">
        <v>599</v>
      </c>
      <c r="E223" t="s">
        <v>99</v>
      </c>
    </row>
    <row r="224" spans="1:5" x14ac:dyDescent="0.25">
      <c r="A224" t="s">
        <v>598</v>
      </c>
      <c r="B224">
        <v>2</v>
      </c>
      <c r="C224" t="s">
        <v>11</v>
      </c>
      <c r="D224" t="s">
        <v>600</v>
      </c>
      <c r="E224" t="s">
        <v>100</v>
      </c>
    </row>
    <row r="225" spans="1:5" x14ac:dyDescent="0.25">
      <c r="A225" t="s">
        <v>598</v>
      </c>
      <c r="B225">
        <v>3</v>
      </c>
      <c r="C225" t="s">
        <v>11</v>
      </c>
      <c r="D225" t="s">
        <v>601</v>
      </c>
      <c r="E225" t="s">
        <v>101</v>
      </c>
    </row>
    <row r="226" spans="1:5" x14ac:dyDescent="0.25">
      <c r="A226" t="s">
        <v>598</v>
      </c>
      <c r="B226">
        <v>4</v>
      </c>
      <c r="C226" t="s">
        <v>11</v>
      </c>
      <c r="D226" t="s">
        <v>602</v>
      </c>
      <c r="E226" t="s">
        <v>102</v>
      </c>
    </row>
    <row r="227" spans="1:5" x14ac:dyDescent="0.25">
      <c r="A227" t="s">
        <v>598</v>
      </c>
      <c r="B227">
        <v>5</v>
      </c>
      <c r="C227" t="s">
        <v>11</v>
      </c>
      <c r="D227" t="s">
        <v>603</v>
      </c>
      <c r="E227" t="s">
        <v>103</v>
      </c>
    </row>
    <row r="228" spans="1:5" x14ac:dyDescent="0.25">
      <c r="A228" t="s">
        <v>598</v>
      </c>
      <c r="B228">
        <v>6</v>
      </c>
      <c r="C228" t="s">
        <v>11</v>
      </c>
      <c r="D228" t="s">
        <v>604</v>
      </c>
      <c r="E228" t="s">
        <v>104</v>
      </c>
    </row>
    <row r="229" spans="1:5" x14ac:dyDescent="0.25">
      <c r="A229" t="s">
        <v>598</v>
      </c>
      <c r="B229">
        <v>0</v>
      </c>
      <c r="C229" t="s">
        <v>11</v>
      </c>
      <c r="D229" t="s">
        <v>605</v>
      </c>
      <c r="E229" t="s">
        <v>589</v>
      </c>
    </row>
    <row r="230" spans="1:5" x14ac:dyDescent="0.25">
      <c r="A230" t="s">
        <v>606</v>
      </c>
      <c r="B230">
        <v>1</v>
      </c>
      <c r="C230" t="s">
        <v>11</v>
      </c>
      <c r="D230" t="s">
        <v>607</v>
      </c>
      <c r="E230" t="s">
        <v>99</v>
      </c>
    </row>
    <row r="231" spans="1:5" x14ac:dyDescent="0.25">
      <c r="A231" t="s">
        <v>606</v>
      </c>
      <c r="B231">
        <v>2</v>
      </c>
      <c r="C231" t="s">
        <v>11</v>
      </c>
      <c r="D231" t="s">
        <v>608</v>
      </c>
      <c r="E231" t="s">
        <v>100</v>
      </c>
    </row>
    <row r="232" spans="1:5" x14ac:dyDescent="0.25">
      <c r="A232" t="s">
        <v>606</v>
      </c>
      <c r="B232">
        <v>3</v>
      </c>
      <c r="C232" t="s">
        <v>11</v>
      </c>
      <c r="D232" t="s">
        <v>609</v>
      </c>
      <c r="E232" t="s">
        <v>101</v>
      </c>
    </row>
    <row r="233" spans="1:5" x14ac:dyDescent="0.25">
      <c r="A233" t="s">
        <v>606</v>
      </c>
      <c r="B233">
        <v>4</v>
      </c>
      <c r="C233" t="s">
        <v>11</v>
      </c>
      <c r="D233" t="s">
        <v>610</v>
      </c>
      <c r="E233" t="s">
        <v>102</v>
      </c>
    </row>
    <row r="234" spans="1:5" x14ac:dyDescent="0.25">
      <c r="A234" t="s">
        <v>606</v>
      </c>
      <c r="B234">
        <v>5</v>
      </c>
      <c r="C234" t="s">
        <v>11</v>
      </c>
      <c r="D234" t="s">
        <v>611</v>
      </c>
      <c r="E234" t="s">
        <v>103</v>
      </c>
    </row>
    <row r="235" spans="1:5" x14ac:dyDescent="0.25">
      <c r="A235" t="s">
        <v>606</v>
      </c>
      <c r="B235">
        <v>6</v>
      </c>
      <c r="C235" t="s">
        <v>11</v>
      </c>
      <c r="D235" t="s">
        <v>612</v>
      </c>
      <c r="E235" t="s">
        <v>104</v>
      </c>
    </row>
    <row r="236" spans="1:5" x14ac:dyDescent="0.25">
      <c r="A236" t="s">
        <v>606</v>
      </c>
      <c r="B236">
        <v>0</v>
      </c>
      <c r="C236" t="s">
        <v>11</v>
      </c>
      <c r="D236" t="s">
        <v>613</v>
      </c>
      <c r="E236" t="s">
        <v>589</v>
      </c>
    </row>
    <row r="237" spans="1:5" x14ac:dyDescent="0.25">
      <c r="A237" t="s">
        <v>614</v>
      </c>
      <c r="B237">
        <v>1</v>
      </c>
      <c r="C237" t="s">
        <v>11</v>
      </c>
      <c r="D237" t="s">
        <v>615</v>
      </c>
      <c r="E237" t="s">
        <v>99</v>
      </c>
    </row>
    <row r="238" spans="1:5" x14ac:dyDescent="0.25">
      <c r="A238" t="s">
        <v>614</v>
      </c>
      <c r="B238">
        <v>2</v>
      </c>
      <c r="C238" t="s">
        <v>11</v>
      </c>
      <c r="D238" t="s">
        <v>616</v>
      </c>
      <c r="E238" t="s">
        <v>100</v>
      </c>
    </row>
    <row r="239" spans="1:5" x14ac:dyDescent="0.25">
      <c r="A239" t="s">
        <v>614</v>
      </c>
      <c r="B239">
        <v>3</v>
      </c>
      <c r="C239" t="s">
        <v>11</v>
      </c>
      <c r="D239" t="s">
        <v>617</v>
      </c>
      <c r="E239" t="s">
        <v>101</v>
      </c>
    </row>
    <row r="240" spans="1:5" x14ac:dyDescent="0.25">
      <c r="A240" t="s">
        <v>614</v>
      </c>
      <c r="B240">
        <v>4</v>
      </c>
      <c r="C240" t="s">
        <v>11</v>
      </c>
      <c r="D240" t="s">
        <v>618</v>
      </c>
      <c r="E240" t="s">
        <v>102</v>
      </c>
    </row>
    <row r="241" spans="1:5" x14ac:dyDescent="0.25">
      <c r="A241" t="s">
        <v>614</v>
      </c>
      <c r="B241">
        <v>5</v>
      </c>
      <c r="C241" t="s">
        <v>11</v>
      </c>
      <c r="D241" t="s">
        <v>619</v>
      </c>
      <c r="E241" t="s">
        <v>103</v>
      </c>
    </row>
    <row r="242" spans="1:5" x14ac:dyDescent="0.25">
      <c r="A242" t="s">
        <v>614</v>
      </c>
      <c r="B242">
        <v>6</v>
      </c>
      <c r="C242" t="s">
        <v>11</v>
      </c>
      <c r="D242" t="s">
        <v>620</v>
      </c>
      <c r="E242" t="s">
        <v>104</v>
      </c>
    </row>
    <row r="243" spans="1:5" x14ac:dyDescent="0.25">
      <c r="A243" t="s">
        <v>614</v>
      </c>
      <c r="B243">
        <v>0</v>
      </c>
      <c r="C243" t="s">
        <v>11</v>
      </c>
      <c r="D243" t="s">
        <v>621</v>
      </c>
      <c r="E243" t="s">
        <v>589</v>
      </c>
    </row>
    <row r="244" spans="1:5" x14ac:dyDescent="0.25">
      <c r="A244" t="s">
        <v>622</v>
      </c>
      <c r="B244">
        <v>1</v>
      </c>
      <c r="C244" t="s">
        <v>11</v>
      </c>
      <c r="D244" t="s">
        <v>623</v>
      </c>
      <c r="E244" t="s">
        <v>99</v>
      </c>
    </row>
    <row r="245" spans="1:5" x14ac:dyDescent="0.25">
      <c r="A245" t="s">
        <v>622</v>
      </c>
      <c r="B245">
        <v>2</v>
      </c>
      <c r="C245" t="s">
        <v>11</v>
      </c>
      <c r="D245" t="s">
        <v>624</v>
      </c>
      <c r="E245" t="s">
        <v>100</v>
      </c>
    </row>
    <row r="246" spans="1:5" x14ac:dyDescent="0.25">
      <c r="A246" t="s">
        <v>622</v>
      </c>
      <c r="B246">
        <v>3</v>
      </c>
      <c r="C246" t="s">
        <v>11</v>
      </c>
      <c r="D246" t="s">
        <v>625</v>
      </c>
      <c r="E246" t="s">
        <v>101</v>
      </c>
    </row>
    <row r="247" spans="1:5" x14ac:dyDescent="0.25">
      <c r="A247" t="s">
        <v>622</v>
      </c>
      <c r="B247">
        <v>4</v>
      </c>
      <c r="C247" t="s">
        <v>11</v>
      </c>
      <c r="D247" t="s">
        <v>626</v>
      </c>
      <c r="E247" t="s">
        <v>102</v>
      </c>
    </row>
    <row r="248" spans="1:5" x14ac:dyDescent="0.25">
      <c r="A248" t="s">
        <v>622</v>
      </c>
      <c r="B248">
        <v>5</v>
      </c>
      <c r="C248" t="s">
        <v>11</v>
      </c>
      <c r="D248" t="s">
        <v>627</v>
      </c>
      <c r="E248" t="s">
        <v>103</v>
      </c>
    </row>
    <row r="249" spans="1:5" x14ac:dyDescent="0.25">
      <c r="A249" t="s">
        <v>622</v>
      </c>
      <c r="B249">
        <v>6</v>
      </c>
      <c r="C249" t="s">
        <v>11</v>
      </c>
      <c r="D249" t="s">
        <v>628</v>
      </c>
      <c r="E249" t="s">
        <v>104</v>
      </c>
    </row>
    <row r="250" spans="1:5" x14ac:dyDescent="0.25">
      <c r="A250" t="s">
        <v>622</v>
      </c>
      <c r="B250">
        <v>0</v>
      </c>
      <c r="C250" t="s">
        <v>11</v>
      </c>
      <c r="D250" t="s">
        <v>629</v>
      </c>
      <c r="E250" t="s">
        <v>589</v>
      </c>
    </row>
    <row r="251" spans="1:5" x14ac:dyDescent="0.25">
      <c r="A251" t="s">
        <v>630</v>
      </c>
      <c r="C251" t="s">
        <v>306</v>
      </c>
      <c r="D251" t="s">
        <v>631</v>
      </c>
      <c r="E251" t="s">
        <v>632</v>
      </c>
    </row>
    <row r="252" spans="1:5" x14ac:dyDescent="0.25">
      <c r="A252" t="s">
        <v>633</v>
      </c>
      <c r="C252" t="s">
        <v>306</v>
      </c>
      <c r="D252" t="s">
        <v>634</v>
      </c>
      <c r="E252" t="s">
        <v>632</v>
      </c>
    </row>
    <row r="253" spans="1:5" x14ac:dyDescent="0.25">
      <c r="A253" t="s">
        <v>635</v>
      </c>
      <c r="C253" t="s">
        <v>306</v>
      </c>
      <c r="D253" t="s">
        <v>636</v>
      </c>
      <c r="E253" t="s">
        <v>632</v>
      </c>
    </row>
    <row r="254" spans="1:5" x14ac:dyDescent="0.25">
      <c r="A254" t="s">
        <v>637</v>
      </c>
      <c r="C254" t="s">
        <v>306</v>
      </c>
      <c r="D254" t="s">
        <v>638</v>
      </c>
      <c r="E254" t="s">
        <v>632</v>
      </c>
    </row>
    <row r="255" spans="1:5" x14ac:dyDescent="0.25">
      <c r="A255" t="s">
        <v>639</v>
      </c>
      <c r="C255" t="s">
        <v>306</v>
      </c>
      <c r="D255" t="s">
        <v>640</v>
      </c>
      <c r="E255" t="s">
        <v>632</v>
      </c>
    </row>
    <row r="256" spans="1:5" x14ac:dyDescent="0.25">
      <c r="A256" t="s">
        <v>641</v>
      </c>
      <c r="C256" t="s">
        <v>306</v>
      </c>
      <c r="D256" t="s">
        <v>642</v>
      </c>
      <c r="E256" t="s">
        <v>632</v>
      </c>
    </row>
    <row r="257" spans="1:5" x14ac:dyDescent="0.25">
      <c r="A257" t="s">
        <v>643</v>
      </c>
      <c r="B257">
        <v>1</v>
      </c>
      <c r="C257" t="s">
        <v>11</v>
      </c>
      <c r="D257" t="s">
        <v>644</v>
      </c>
      <c r="E257" t="s">
        <v>645</v>
      </c>
    </row>
    <row r="258" spans="1:5" x14ac:dyDescent="0.25">
      <c r="A258" t="s">
        <v>643</v>
      </c>
      <c r="B258">
        <v>2</v>
      </c>
      <c r="C258" t="s">
        <v>11</v>
      </c>
      <c r="D258" t="s">
        <v>646</v>
      </c>
      <c r="E258" t="s">
        <v>645</v>
      </c>
    </row>
    <row r="259" spans="1:5" x14ac:dyDescent="0.25">
      <c r="A259" t="s">
        <v>643</v>
      </c>
      <c r="B259">
        <v>3</v>
      </c>
      <c r="C259" t="s">
        <v>11</v>
      </c>
      <c r="D259" t="s">
        <v>647</v>
      </c>
      <c r="E259" t="s">
        <v>645</v>
      </c>
    </row>
    <row r="260" spans="1:5" x14ac:dyDescent="0.25">
      <c r="A260" t="s">
        <v>643</v>
      </c>
      <c r="B260">
        <v>4</v>
      </c>
      <c r="C260" t="s">
        <v>11</v>
      </c>
      <c r="D260" t="s">
        <v>648</v>
      </c>
      <c r="E260" t="s">
        <v>645</v>
      </c>
    </row>
    <row r="261" spans="1:5" x14ac:dyDescent="0.25">
      <c r="A261" t="s">
        <v>643</v>
      </c>
      <c r="B261">
        <v>5</v>
      </c>
      <c r="C261" t="s">
        <v>11</v>
      </c>
      <c r="D261" t="s">
        <v>649</v>
      </c>
      <c r="E261" t="s">
        <v>645</v>
      </c>
    </row>
    <row r="262" spans="1:5" x14ac:dyDescent="0.25">
      <c r="A262" t="s">
        <v>643</v>
      </c>
      <c r="B262">
        <v>6</v>
      </c>
      <c r="C262" t="s">
        <v>11</v>
      </c>
      <c r="D262" t="s">
        <v>650</v>
      </c>
      <c r="E262" t="s">
        <v>645</v>
      </c>
    </row>
    <row r="263" spans="1:5" x14ac:dyDescent="0.25">
      <c r="A263" t="s">
        <v>643</v>
      </c>
      <c r="B263">
        <v>7</v>
      </c>
      <c r="C263" t="s">
        <v>11</v>
      </c>
      <c r="D263" t="s">
        <v>651</v>
      </c>
      <c r="E263" t="s">
        <v>645</v>
      </c>
    </row>
    <row r="264" spans="1:5" x14ac:dyDescent="0.25">
      <c r="A264" t="s">
        <v>643</v>
      </c>
      <c r="B264">
        <v>8</v>
      </c>
      <c r="C264" t="s">
        <v>11</v>
      </c>
      <c r="D264" t="s">
        <v>652</v>
      </c>
      <c r="E264" t="s">
        <v>645</v>
      </c>
    </row>
    <row r="265" spans="1:5" x14ac:dyDescent="0.25">
      <c r="A265" t="s">
        <v>643</v>
      </c>
      <c r="B265">
        <v>9</v>
      </c>
      <c r="C265" t="s">
        <v>11</v>
      </c>
      <c r="D265" t="s">
        <v>653</v>
      </c>
      <c r="E265" t="s">
        <v>645</v>
      </c>
    </row>
    <row r="266" spans="1:5" x14ac:dyDescent="0.25">
      <c r="A266" t="s">
        <v>643</v>
      </c>
      <c r="B266">
        <v>10</v>
      </c>
      <c r="C266" t="s">
        <v>11</v>
      </c>
      <c r="D266" t="s">
        <v>654</v>
      </c>
      <c r="E266" t="s">
        <v>645</v>
      </c>
    </row>
    <row r="267" spans="1:5" x14ac:dyDescent="0.25">
      <c r="A267" t="s">
        <v>643</v>
      </c>
      <c r="B267">
        <v>100</v>
      </c>
      <c r="C267" t="s">
        <v>11</v>
      </c>
      <c r="D267" t="s">
        <v>655</v>
      </c>
      <c r="E267" t="s">
        <v>645</v>
      </c>
    </row>
    <row r="268" spans="1:5" x14ac:dyDescent="0.25">
      <c r="A268" t="s">
        <v>643</v>
      </c>
      <c r="B268">
        <v>0</v>
      </c>
      <c r="C268" t="s">
        <v>11</v>
      </c>
      <c r="D268" t="s">
        <v>656</v>
      </c>
      <c r="E268" t="s">
        <v>645</v>
      </c>
    </row>
    <row r="269" spans="1:5" x14ac:dyDescent="0.25">
      <c r="A269" t="s">
        <v>657</v>
      </c>
      <c r="B269">
        <v>1</v>
      </c>
      <c r="C269" t="s">
        <v>11</v>
      </c>
      <c r="D269" t="s">
        <v>658</v>
      </c>
      <c r="E269" t="s">
        <v>659</v>
      </c>
    </row>
    <row r="270" spans="1:5" x14ac:dyDescent="0.25">
      <c r="A270" t="s">
        <v>657</v>
      </c>
      <c r="B270">
        <v>2</v>
      </c>
      <c r="C270" t="s">
        <v>11</v>
      </c>
      <c r="D270" t="s">
        <v>660</v>
      </c>
      <c r="E270" t="s">
        <v>659</v>
      </c>
    </row>
    <row r="271" spans="1:5" x14ac:dyDescent="0.25">
      <c r="A271" t="s">
        <v>657</v>
      </c>
      <c r="B271">
        <v>3</v>
      </c>
      <c r="C271" t="s">
        <v>11</v>
      </c>
      <c r="D271" t="s">
        <v>661</v>
      </c>
      <c r="E271" t="s">
        <v>659</v>
      </c>
    </row>
    <row r="272" spans="1:5" x14ac:dyDescent="0.25">
      <c r="A272" t="s">
        <v>657</v>
      </c>
      <c r="B272">
        <v>4</v>
      </c>
      <c r="C272" t="s">
        <v>11</v>
      </c>
      <c r="D272" t="s">
        <v>662</v>
      </c>
      <c r="E272" t="s">
        <v>659</v>
      </c>
    </row>
    <row r="273" spans="1:5" x14ac:dyDescent="0.25">
      <c r="A273" t="s">
        <v>657</v>
      </c>
      <c r="B273">
        <v>5</v>
      </c>
      <c r="C273" t="s">
        <v>11</v>
      </c>
      <c r="D273" t="s">
        <v>663</v>
      </c>
      <c r="E273" t="s">
        <v>659</v>
      </c>
    </row>
    <row r="274" spans="1:5" x14ac:dyDescent="0.25">
      <c r="A274" t="s">
        <v>657</v>
      </c>
      <c r="B274">
        <v>6</v>
      </c>
      <c r="C274" t="s">
        <v>11</v>
      </c>
      <c r="D274" t="s">
        <v>664</v>
      </c>
      <c r="E274" t="s">
        <v>659</v>
      </c>
    </row>
    <row r="275" spans="1:5" x14ac:dyDescent="0.25">
      <c r="A275" t="s">
        <v>657</v>
      </c>
      <c r="B275">
        <v>7</v>
      </c>
      <c r="C275" t="s">
        <v>11</v>
      </c>
      <c r="D275" t="s">
        <v>665</v>
      </c>
      <c r="E275" t="s">
        <v>659</v>
      </c>
    </row>
    <row r="276" spans="1:5" x14ac:dyDescent="0.25">
      <c r="A276" t="s">
        <v>657</v>
      </c>
      <c r="B276">
        <v>8</v>
      </c>
      <c r="C276" t="s">
        <v>11</v>
      </c>
      <c r="D276" t="s">
        <v>666</v>
      </c>
      <c r="E276" t="s">
        <v>659</v>
      </c>
    </row>
    <row r="277" spans="1:5" x14ac:dyDescent="0.25">
      <c r="A277" t="s">
        <v>657</v>
      </c>
      <c r="B277">
        <v>9</v>
      </c>
      <c r="C277" t="s">
        <v>11</v>
      </c>
      <c r="D277" t="s">
        <v>667</v>
      </c>
      <c r="E277" t="s">
        <v>659</v>
      </c>
    </row>
    <row r="278" spans="1:5" x14ac:dyDescent="0.25">
      <c r="A278" t="s">
        <v>657</v>
      </c>
      <c r="B278">
        <v>10</v>
      </c>
      <c r="C278" t="s">
        <v>11</v>
      </c>
      <c r="D278" t="s">
        <v>668</v>
      </c>
      <c r="E278" t="s">
        <v>659</v>
      </c>
    </row>
    <row r="279" spans="1:5" x14ac:dyDescent="0.25">
      <c r="A279" t="s">
        <v>657</v>
      </c>
      <c r="B279">
        <v>11</v>
      </c>
      <c r="C279" t="s">
        <v>11</v>
      </c>
      <c r="D279" t="s">
        <v>669</v>
      </c>
      <c r="E279" t="s">
        <v>659</v>
      </c>
    </row>
    <row r="280" spans="1:5" x14ac:dyDescent="0.25">
      <c r="A280" t="s">
        <v>657</v>
      </c>
      <c r="B280">
        <v>12</v>
      </c>
      <c r="C280" t="s">
        <v>11</v>
      </c>
      <c r="D280" t="s">
        <v>670</v>
      </c>
      <c r="E280" t="s">
        <v>659</v>
      </c>
    </row>
    <row r="281" spans="1:5" x14ac:dyDescent="0.25">
      <c r="A281" t="s">
        <v>657</v>
      </c>
      <c r="B281">
        <v>13</v>
      </c>
      <c r="C281" t="s">
        <v>11</v>
      </c>
      <c r="D281" t="s">
        <v>671</v>
      </c>
      <c r="E281" t="s">
        <v>659</v>
      </c>
    </row>
    <row r="282" spans="1:5" x14ac:dyDescent="0.25">
      <c r="A282" t="s">
        <v>657</v>
      </c>
      <c r="B282">
        <v>14</v>
      </c>
      <c r="C282" t="s">
        <v>11</v>
      </c>
      <c r="D282" t="s">
        <v>672</v>
      </c>
      <c r="E282" t="s">
        <v>659</v>
      </c>
    </row>
    <row r="283" spans="1:5" x14ac:dyDescent="0.25">
      <c r="A283" t="s">
        <v>657</v>
      </c>
      <c r="B283">
        <v>15</v>
      </c>
      <c r="C283" t="s">
        <v>11</v>
      </c>
      <c r="D283" t="s">
        <v>673</v>
      </c>
      <c r="E283" t="s">
        <v>659</v>
      </c>
    </row>
    <row r="284" spans="1:5" x14ac:dyDescent="0.25">
      <c r="A284" t="s">
        <v>657</v>
      </c>
      <c r="B284">
        <v>16</v>
      </c>
      <c r="C284" t="s">
        <v>11</v>
      </c>
      <c r="D284" t="s">
        <v>674</v>
      </c>
      <c r="E284" t="s">
        <v>659</v>
      </c>
    </row>
    <row r="285" spans="1:5" x14ac:dyDescent="0.25">
      <c r="A285" t="s">
        <v>657</v>
      </c>
      <c r="B285">
        <v>17</v>
      </c>
      <c r="C285" t="s">
        <v>11</v>
      </c>
      <c r="D285" t="s">
        <v>675</v>
      </c>
      <c r="E285" t="s">
        <v>659</v>
      </c>
    </row>
    <row r="286" spans="1:5" x14ac:dyDescent="0.25">
      <c r="A286" t="s">
        <v>657</v>
      </c>
      <c r="B286">
        <v>18</v>
      </c>
      <c r="C286" t="s">
        <v>11</v>
      </c>
      <c r="D286" t="s">
        <v>676</v>
      </c>
      <c r="E286" t="s">
        <v>659</v>
      </c>
    </row>
    <row r="287" spans="1:5" x14ac:dyDescent="0.25">
      <c r="A287" t="s">
        <v>657</v>
      </c>
      <c r="B287">
        <v>19</v>
      </c>
      <c r="C287" t="s">
        <v>11</v>
      </c>
      <c r="D287" t="s">
        <v>677</v>
      </c>
      <c r="E287" t="s">
        <v>659</v>
      </c>
    </row>
    <row r="288" spans="1:5" x14ac:dyDescent="0.25">
      <c r="A288" t="s">
        <v>657</v>
      </c>
      <c r="B288">
        <v>20</v>
      </c>
      <c r="C288" t="s">
        <v>11</v>
      </c>
      <c r="D288" t="s">
        <v>678</v>
      </c>
      <c r="E288" t="s">
        <v>659</v>
      </c>
    </row>
    <row r="289" spans="1:5" x14ac:dyDescent="0.25">
      <c r="A289" t="s">
        <v>657</v>
      </c>
      <c r="B289">
        <v>21</v>
      </c>
      <c r="C289" t="s">
        <v>11</v>
      </c>
      <c r="D289" t="s">
        <v>679</v>
      </c>
      <c r="E289" t="s">
        <v>659</v>
      </c>
    </row>
    <row r="290" spans="1:5" x14ac:dyDescent="0.25">
      <c r="A290" t="s">
        <v>657</v>
      </c>
      <c r="B290">
        <v>22</v>
      </c>
      <c r="C290" t="s">
        <v>11</v>
      </c>
      <c r="D290" t="s">
        <v>680</v>
      </c>
      <c r="E290" t="s">
        <v>659</v>
      </c>
    </row>
    <row r="291" spans="1:5" x14ac:dyDescent="0.25">
      <c r="A291" t="s">
        <v>657</v>
      </c>
      <c r="B291">
        <v>23</v>
      </c>
      <c r="C291" t="s">
        <v>11</v>
      </c>
      <c r="D291" t="s">
        <v>681</v>
      </c>
      <c r="E291" t="s">
        <v>659</v>
      </c>
    </row>
    <row r="292" spans="1:5" x14ac:dyDescent="0.25">
      <c r="A292" t="s">
        <v>657</v>
      </c>
      <c r="B292">
        <v>24</v>
      </c>
      <c r="C292" t="s">
        <v>11</v>
      </c>
      <c r="D292" t="s">
        <v>682</v>
      </c>
      <c r="E292" t="s">
        <v>659</v>
      </c>
    </row>
    <row r="293" spans="1:5" x14ac:dyDescent="0.25">
      <c r="A293" t="s">
        <v>657</v>
      </c>
      <c r="B293">
        <v>25</v>
      </c>
      <c r="C293" t="s">
        <v>11</v>
      </c>
      <c r="D293" t="s">
        <v>683</v>
      </c>
      <c r="E293" t="s">
        <v>659</v>
      </c>
    </row>
    <row r="294" spans="1:5" x14ac:dyDescent="0.25">
      <c r="A294" t="s">
        <v>657</v>
      </c>
      <c r="B294">
        <v>26</v>
      </c>
      <c r="C294" t="s">
        <v>11</v>
      </c>
      <c r="D294" t="s">
        <v>684</v>
      </c>
      <c r="E294" t="s">
        <v>659</v>
      </c>
    </row>
    <row r="295" spans="1:5" x14ac:dyDescent="0.25">
      <c r="A295" t="s">
        <v>657</v>
      </c>
      <c r="B295">
        <v>27</v>
      </c>
      <c r="C295" t="s">
        <v>11</v>
      </c>
      <c r="D295" t="s">
        <v>685</v>
      </c>
      <c r="E295" t="s">
        <v>659</v>
      </c>
    </row>
    <row r="296" spans="1:5" x14ac:dyDescent="0.25">
      <c r="A296" t="s">
        <v>657</v>
      </c>
      <c r="B296">
        <v>28</v>
      </c>
      <c r="C296" t="s">
        <v>11</v>
      </c>
      <c r="D296" t="s">
        <v>686</v>
      </c>
      <c r="E296" t="s">
        <v>659</v>
      </c>
    </row>
    <row r="297" spans="1:5" x14ac:dyDescent="0.25">
      <c r="A297" t="s">
        <v>657</v>
      </c>
      <c r="B297">
        <v>29</v>
      </c>
      <c r="C297" t="s">
        <v>11</v>
      </c>
      <c r="D297" t="s">
        <v>687</v>
      </c>
      <c r="E297" t="s">
        <v>659</v>
      </c>
    </row>
    <row r="298" spans="1:5" x14ac:dyDescent="0.25">
      <c r="A298" t="s">
        <v>657</v>
      </c>
      <c r="B298">
        <v>30</v>
      </c>
      <c r="C298" t="s">
        <v>11</v>
      </c>
      <c r="D298" t="s">
        <v>688</v>
      </c>
      <c r="E298" t="s">
        <v>659</v>
      </c>
    </row>
    <row r="299" spans="1:5" x14ac:dyDescent="0.25">
      <c r="A299" t="s">
        <v>657</v>
      </c>
      <c r="B299">
        <v>31</v>
      </c>
      <c r="C299" t="s">
        <v>11</v>
      </c>
      <c r="D299" t="s">
        <v>689</v>
      </c>
      <c r="E299" t="s">
        <v>659</v>
      </c>
    </row>
    <row r="300" spans="1:5" x14ac:dyDescent="0.25">
      <c r="A300" t="s">
        <v>657</v>
      </c>
      <c r="B300">
        <v>32</v>
      </c>
      <c r="C300" t="s">
        <v>11</v>
      </c>
      <c r="D300" t="s">
        <v>690</v>
      </c>
      <c r="E300" t="s">
        <v>659</v>
      </c>
    </row>
    <row r="301" spans="1:5" x14ac:dyDescent="0.25">
      <c r="A301" t="s">
        <v>657</v>
      </c>
      <c r="B301">
        <v>33</v>
      </c>
      <c r="C301" t="s">
        <v>11</v>
      </c>
      <c r="D301" t="s">
        <v>691</v>
      </c>
      <c r="E301" t="s">
        <v>659</v>
      </c>
    </row>
    <row r="302" spans="1:5" x14ac:dyDescent="0.25">
      <c r="A302" t="s">
        <v>657</v>
      </c>
      <c r="B302">
        <v>34</v>
      </c>
      <c r="C302" t="s">
        <v>11</v>
      </c>
      <c r="D302" t="s">
        <v>692</v>
      </c>
      <c r="E302" t="s">
        <v>659</v>
      </c>
    </row>
    <row r="303" spans="1:5" x14ac:dyDescent="0.25">
      <c r="A303" t="s">
        <v>657</v>
      </c>
      <c r="B303">
        <v>0</v>
      </c>
      <c r="C303" t="s">
        <v>11</v>
      </c>
      <c r="D303" t="s">
        <v>693</v>
      </c>
      <c r="E303" t="s">
        <v>659</v>
      </c>
    </row>
    <row r="304" spans="1:5" x14ac:dyDescent="0.25">
      <c r="A304" t="s">
        <v>694</v>
      </c>
      <c r="B304">
        <v>1</v>
      </c>
      <c r="C304" t="s">
        <v>11</v>
      </c>
      <c r="D304" t="s">
        <v>695</v>
      </c>
      <c r="E304" t="s">
        <v>696</v>
      </c>
    </row>
    <row r="305" spans="1:5" x14ac:dyDescent="0.25">
      <c r="A305" t="s">
        <v>694</v>
      </c>
      <c r="B305">
        <v>2</v>
      </c>
      <c r="C305" t="s">
        <v>11</v>
      </c>
      <c r="D305" t="s">
        <v>697</v>
      </c>
      <c r="E305" t="s">
        <v>696</v>
      </c>
    </row>
    <row r="306" spans="1:5" x14ac:dyDescent="0.25">
      <c r="A306" t="s">
        <v>694</v>
      </c>
      <c r="B306">
        <v>3</v>
      </c>
      <c r="C306" t="s">
        <v>11</v>
      </c>
      <c r="D306" t="s">
        <v>698</v>
      </c>
      <c r="E306" t="s">
        <v>696</v>
      </c>
    </row>
    <row r="307" spans="1:5" x14ac:dyDescent="0.25">
      <c r="A307" t="s">
        <v>694</v>
      </c>
      <c r="B307">
        <v>4</v>
      </c>
      <c r="C307" t="s">
        <v>11</v>
      </c>
      <c r="D307" t="s">
        <v>699</v>
      </c>
      <c r="E307" t="s">
        <v>696</v>
      </c>
    </row>
    <row r="308" spans="1:5" x14ac:dyDescent="0.25">
      <c r="A308" t="s">
        <v>694</v>
      </c>
      <c r="B308">
        <v>5</v>
      </c>
      <c r="C308" t="s">
        <v>11</v>
      </c>
      <c r="D308" t="s">
        <v>700</v>
      </c>
      <c r="E308" t="s">
        <v>696</v>
      </c>
    </row>
    <row r="309" spans="1:5" x14ac:dyDescent="0.25">
      <c r="A309" t="s">
        <v>694</v>
      </c>
      <c r="B309">
        <v>6</v>
      </c>
      <c r="C309" t="s">
        <v>11</v>
      </c>
      <c r="D309" t="s">
        <v>701</v>
      </c>
      <c r="E309" t="s">
        <v>696</v>
      </c>
    </row>
    <row r="310" spans="1:5" x14ac:dyDescent="0.25">
      <c r="A310" t="s">
        <v>694</v>
      </c>
      <c r="B310">
        <v>7</v>
      </c>
      <c r="C310" t="s">
        <v>11</v>
      </c>
      <c r="D310" t="s">
        <v>702</v>
      </c>
      <c r="E310" t="s">
        <v>696</v>
      </c>
    </row>
    <row r="311" spans="1:5" x14ac:dyDescent="0.25">
      <c r="A311" t="s">
        <v>694</v>
      </c>
      <c r="B311">
        <v>8</v>
      </c>
      <c r="C311" t="s">
        <v>11</v>
      </c>
      <c r="D311" t="s">
        <v>703</v>
      </c>
      <c r="E311" t="s">
        <v>696</v>
      </c>
    </row>
    <row r="312" spans="1:5" x14ac:dyDescent="0.25">
      <c r="A312" t="s">
        <v>694</v>
      </c>
      <c r="B312">
        <v>9</v>
      </c>
      <c r="C312" t="s">
        <v>11</v>
      </c>
      <c r="D312" t="s">
        <v>704</v>
      </c>
      <c r="E312" t="s">
        <v>696</v>
      </c>
    </row>
    <row r="313" spans="1:5" x14ac:dyDescent="0.25">
      <c r="A313" t="s">
        <v>694</v>
      </c>
      <c r="B313">
        <v>10</v>
      </c>
      <c r="C313" t="s">
        <v>11</v>
      </c>
      <c r="D313" t="s">
        <v>705</v>
      </c>
      <c r="E313" t="s">
        <v>696</v>
      </c>
    </row>
    <row r="314" spans="1:5" x14ac:dyDescent="0.25">
      <c r="A314" t="s">
        <v>694</v>
      </c>
      <c r="B314">
        <v>11</v>
      </c>
      <c r="C314" t="s">
        <v>11</v>
      </c>
      <c r="D314" t="s">
        <v>706</v>
      </c>
      <c r="E314" t="s">
        <v>696</v>
      </c>
    </row>
    <row r="315" spans="1:5" x14ac:dyDescent="0.25">
      <c r="A315" t="s">
        <v>694</v>
      </c>
      <c r="B315">
        <v>12</v>
      </c>
      <c r="C315" t="s">
        <v>11</v>
      </c>
      <c r="D315" t="s">
        <v>707</v>
      </c>
      <c r="E315" t="s">
        <v>696</v>
      </c>
    </row>
    <row r="316" spans="1:5" x14ac:dyDescent="0.25">
      <c r="A316" t="s">
        <v>694</v>
      </c>
      <c r="B316">
        <v>13</v>
      </c>
      <c r="C316" t="s">
        <v>11</v>
      </c>
      <c r="D316" t="s">
        <v>708</v>
      </c>
      <c r="E316" t="s">
        <v>696</v>
      </c>
    </row>
    <row r="317" spans="1:5" x14ac:dyDescent="0.25">
      <c r="A317" t="s">
        <v>694</v>
      </c>
      <c r="B317">
        <v>14</v>
      </c>
      <c r="C317" t="s">
        <v>11</v>
      </c>
      <c r="D317" t="s">
        <v>709</v>
      </c>
      <c r="E317" t="s">
        <v>696</v>
      </c>
    </row>
    <row r="318" spans="1:5" x14ac:dyDescent="0.25">
      <c r="A318" t="s">
        <v>694</v>
      </c>
      <c r="B318">
        <v>15</v>
      </c>
      <c r="C318" t="s">
        <v>11</v>
      </c>
      <c r="D318" t="s">
        <v>710</v>
      </c>
      <c r="E318" t="s">
        <v>696</v>
      </c>
    </row>
    <row r="319" spans="1:5" x14ac:dyDescent="0.25">
      <c r="A319" t="s">
        <v>694</v>
      </c>
      <c r="B319">
        <v>16</v>
      </c>
      <c r="C319" t="s">
        <v>11</v>
      </c>
      <c r="D319" t="s">
        <v>711</v>
      </c>
      <c r="E319" t="s">
        <v>696</v>
      </c>
    </row>
    <row r="320" spans="1:5" x14ac:dyDescent="0.25">
      <c r="A320" t="s">
        <v>694</v>
      </c>
      <c r="B320">
        <v>17</v>
      </c>
      <c r="C320" t="s">
        <v>11</v>
      </c>
      <c r="D320" t="s">
        <v>712</v>
      </c>
      <c r="E320" t="s">
        <v>696</v>
      </c>
    </row>
    <row r="321" spans="1:5" x14ac:dyDescent="0.25">
      <c r="A321" t="s">
        <v>694</v>
      </c>
      <c r="B321">
        <v>100</v>
      </c>
      <c r="C321" t="s">
        <v>11</v>
      </c>
      <c r="D321" t="s">
        <v>713</v>
      </c>
      <c r="E321" t="s">
        <v>696</v>
      </c>
    </row>
    <row r="322" spans="1:5" x14ac:dyDescent="0.25">
      <c r="A322" t="s">
        <v>694</v>
      </c>
      <c r="B322">
        <v>0</v>
      </c>
      <c r="C322" t="s">
        <v>11</v>
      </c>
      <c r="D322" t="s">
        <v>714</v>
      </c>
      <c r="E322" t="s">
        <v>696</v>
      </c>
    </row>
    <row r="323" spans="1:5" x14ac:dyDescent="0.25">
      <c r="A323" t="s">
        <v>715</v>
      </c>
      <c r="B323">
        <v>1</v>
      </c>
      <c r="C323" t="s">
        <v>11</v>
      </c>
      <c r="D323" t="s">
        <v>716</v>
      </c>
      <c r="E323" t="s">
        <v>717</v>
      </c>
    </row>
    <row r="324" spans="1:5" x14ac:dyDescent="0.25">
      <c r="A324" t="s">
        <v>715</v>
      </c>
      <c r="B324">
        <v>2</v>
      </c>
      <c r="C324" t="s">
        <v>11</v>
      </c>
      <c r="D324" t="s">
        <v>718</v>
      </c>
      <c r="E324" t="s">
        <v>717</v>
      </c>
    </row>
    <row r="325" spans="1:5" x14ac:dyDescent="0.25">
      <c r="A325" t="s">
        <v>715</v>
      </c>
      <c r="B325">
        <v>3</v>
      </c>
      <c r="C325" t="s">
        <v>11</v>
      </c>
      <c r="D325" t="s">
        <v>719</v>
      </c>
      <c r="E325" t="s">
        <v>717</v>
      </c>
    </row>
    <row r="326" spans="1:5" x14ac:dyDescent="0.25">
      <c r="A326" t="s">
        <v>715</v>
      </c>
      <c r="B326">
        <v>4</v>
      </c>
      <c r="C326" t="s">
        <v>11</v>
      </c>
      <c r="D326" t="s">
        <v>720</v>
      </c>
      <c r="E326" t="s">
        <v>717</v>
      </c>
    </row>
    <row r="327" spans="1:5" x14ac:dyDescent="0.25">
      <c r="A327" t="s">
        <v>715</v>
      </c>
      <c r="B327">
        <v>5</v>
      </c>
      <c r="C327" t="s">
        <v>11</v>
      </c>
      <c r="D327" t="s">
        <v>721</v>
      </c>
      <c r="E327" t="s">
        <v>717</v>
      </c>
    </row>
    <row r="328" spans="1:5" x14ac:dyDescent="0.25">
      <c r="A328" t="s">
        <v>715</v>
      </c>
      <c r="B328">
        <v>6</v>
      </c>
      <c r="C328" t="s">
        <v>11</v>
      </c>
      <c r="D328" t="s">
        <v>722</v>
      </c>
      <c r="E328" t="s">
        <v>717</v>
      </c>
    </row>
    <row r="329" spans="1:5" x14ac:dyDescent="0.25">
      <c r="A329" t="s">
        <v>715</v>
      </c>
      <c r="B329">
        <v>7</v>
      </c>
      <c r="C329" t="s">
        <v>11</v>
      </c>
      <c r="D329" t="s">
        <v>723</v>
      </c>
      <c r="E329" t="s">
        <v>717</v>
      </c>
    </row>
    <row r="330" spans="1:5" x14ac:dyDescent="0.25">
      <c r="A330" t="s">
        <v>715</v>
      </c>
      <c r="B330">
        <v>8</v>
      </c>
      <c r="C330" t="s">
        <v>11</v>
      </c>
      <c r="D330" t="s">
        <v>724</v>
      </c>
      <c r="E330" t="s">
        <v>717</v>
      </c>
    </row>
    <row r="331" spans="1:5" x14ac:dyDescent="0.25">
      <c r="A331" t="s">
        <v>715</v>
      </c>
      <c r="B331">
        <v>9</v>
      </c>
      <c r="C331" t="s">
        <v>11</v>
      </c>
      <c r="D331" t="s">
        <v>725</v>
      </c>
      <c r="E331" t="s">
        <v>717</v>
      </c>
    </row>
    <row r="332" spans="1:5" x14ac:dyDescent="0.25">
      <c r="A332" t="s">
        <v>715</v>
      </c>
      <c r="B332">
        <v>10</v>
      </c>
      <c r="C332" t="s">
        <v>11</v>
      </c>
      <c r="D332" t="s">
        <v>726</v>
      </c>
      <c r="E332" t="s">
        <v>717</v>
      </c>
    </row>
    <row r="333" spans="1:5" x14ac:dyDescent="0.25">
      <c r="A333" t="s">
        <v>715</v>
      </c>
      <c r="B333">
        <v>11</v>
      </c>
      <c r="C333" t="s">
        <v>11</v>
      </c>
      <c r="D333" t="s">
        <v>727</v>
      </c>
      <c r="E333" t="s">
        <v>717</v>
      </c>
    </row>
    <row r="334" spans="1:5" x14ac:dyDescent="0.25">
      <c r="A334" t="s">
        <v>715</v>
      </c>
      <c r="B334">
        <v>12</v>
      </c>
      <c r="C334" t="s">
        <v>11</v>
      </c>
      <c r="D334" t="s">
        <v>728</v>
      </c>
      <c r="E334" t="s">
        <v>717</v>
      </c>
    </row>
    <row r="335" spans="1:5" x14ac:dyDescent="0.25">
      <c r="A335" t="s">
        <v>715</v>
      </c>
      <c r="B335">
        <v>13</v>
      </c>
      <c r="C335" t="s">
        <v>11</v>
      </c>
      <c r="D335" t="s">
        <v>729</v>
      </c>
      <c r="E335" t="s">
        <v>717</v>
      </c>
    </row>
    <row r="336" spans="1:5" x14ac:dyDescent="0.25">
      <c r="A336" t="s">
        <v>715</v>
      </c>
      <c r="B336">
        <v>14</v>
      </c>
      <c r="C336" t="s">
        <v>11</v>
      </c>
      <c r="D336" t="s">
        <v>730</v>
      </c>
      <c r="E336" t="s">
        <v>717</v>
      </c>
    </row>
    <row r="337" spans="1:5" x14ac:dyDescent="0.25">
      <c r="A337" t="s">
        <v>715</v>
      </c>
      <c r="B337">
        <v>15</v>
      </c>
      <c r="C337" t="s">
        <v>11</v>
      </c>
      <c r="D337" t="s">
        <v>731</v>
      </c>
      <c r="E337" t="s">
        <v>717</v>
      </c>
    </row>
    <row r="338" spans="1:5" x14ac:dyDescent="0.25">
      <c r="A338" t="s">
        <v>715</v>
      </c>
      <c r="B338">
        <v>16</v>
      </c>
      <c r="C338" t="s">
        <v>11</v>
      </c>
      <c r="D338" t="s">
        <v>732</v>
      </c>
      <c r="E338" t="s">
        <v>717</v>
      </c>
    </row>
    <row r="339" spans="1:5" x14ac:dyDescent="0.25">
      <c r="A339" t="s">
        <v>715</v>
      </c>
      <c r="B339">
        <v>17</v>
      </c>
      <c r="C339" t="s">
        <v>11</v>
      </c>
      <c r="D339" t="s">
        <v>733</v>
      </c>
      <c r="E339" t="s">
        <v>717</v>
      </c>
    </row>
    <row r="340" spans="1:5" x14ac:dyDescent="0.25">
      <c r="A340" t="s">
        <v>715</v>
      </c>
      <c r="B340">
        <v>18</v>
      </c>
      <c r="C340" t="s">
        <v>11</v>
      </c>
      <c r="D340" t="s">
        <v>734</v>
      </c>
      <c r="E340" t="s">
        <v>717</v>
      </c>
    </row>
    <row r="341" spans="1:5" x14ac:dyDescent="0.25">
      <c r="A341" t="s">
        <v>715</v>
      </c>
      <c r="B341">
        <v>19</v>
      </c>
      <c r="C341" t="s">
        <v>11</v>
      </c>
      <c r="D341" t="s">
        <v>735</v>
      </c>
      <c r="E341" t="s">
        <v>717</v>
      </c>
    </row>
    <row r="342" spans="1:5" x14ac:dyDescent="0.25">
      <c r="A342" t="s">
        <v>715</v>
      </c>
      <c r="B342">
        <v>100</v>
      </c>
      <c r="C342" t="s">
        <v>11</v>
      </c>
      <c r="D342" t="s">
        <v>736</v>
      </c>
      <c r="E342" t="s">
        <v>717</v>
      </c>
    </row>
    <row r="343" spans="1:5" x14ac:dyDescent="0.25">
      <c r="A343" t="s">
        <v>715</v>
      </c>
      <c r="B343">
        <v>0</v>
      </c>
      <c r="C343" t="s">
        <v>11</v>
      </c>
      <c r="D343" t="s">
        <v>737</v>
      </c>
      <c r="E343" t="s">
        <v>717</v>
      </c>
    </row>
    <row r="344" spans="1:5" x14ac:dyDescent="0.25">
      <c r="A344" t="s">
        <v>738</v>
      </c>
      <c r="B344">
        <v>1</v>
      </c>
      <c r="C344" t="s">
        <v>11</v>
      </c>
      <c r="D344" t="s">
        <v>739</v>
      </c>
      <c r="E344" t="s">
        <v>740</v>
      </c>
    </row>
    <row r="345" spans="1:5" x14ac:dyDescent="0.25">
      <c r="A345" t="s">
        <v>738</v>
      </c>
      <c r="B345">
        <v>2</v>
      </c>
      <c r="C345" t="s">
        <v>11</v>
      </c>
      <c r="D345" t="s">
        <v>741</v>
      </c>
      <c r="E345" t="s">
        <v>740</v>
      </c>
    </row>
    <row r="346" spans="1:5" x14ac:dyDescent="0.25">
      <c r="A346" t="s">
        <v>738</v>
      </c>
      <c r="B346">
        <v>3</v>
      </c>
      <c r="C346" t="s">
        <v>11</v>
      </c>
      <c r="D346" t="s">
        <v>742</v>
      </c>
      <c r="E346" t="s">
        <v>740</v>
      </c>
    </row>
    <row r="347" spans="1:5" x14ac:dyDescent="0.25">
      <c r="A347" t="s">
        <v>738</v>
      </c>
      <c r="B347">
        <v>4</v>
      </c>
      <c r="C347" t="s">
        <v>11</v>
      </c>
      <c r="D347" t="s">
        <v>743</v>
      </c>
      <c r="E347" t="s">
        <v>740</v>
      </c>
    </row>
    <row r="348" spans="1:5" x14ac:dyDescent="0.25">
      <c r="A348" t="s">
        <v>738</v>
      </c>
      <c r="B348">
        <v>5</v>
      </c>
      <c r="C348" t="s">
        <v>11</v>
      </c>
      <c r="D348" t="s">
        <v>744</v>
      </c>
      <c r="E348" t="s">
        <v>740</v>
      </c>
    </row>
    <row r="349" spans="1:5" x14ac:dyDescent="0.25">
      <c r="A349" t="s">
        <v>738</v>
      </c>
      <c r="B349">
        <v>6</v>
      </c>
      <c r="C349" t="s">
        <v>11</v>
      </c>
      <c r="D349" t="s">
        <v>745</v>
      </c>
      <c r="E349" t="s">
        <v>740</v>
      </c>
    </row>
    <row r="350" spans="1:5" x14ac:dyDescent="0.25">
      <c r="A350" t="s">
        <v>738</v>
      </c>
      <c r="B350">
        <v>7</v>
      </c>
      <c r="C350" t="s">
        <v>11</v>
      </c>
      <c r="D350" t="s">
        <v>746</v>
      </c>
      <c r="E350" t="s">
        <v>740</v>
      </c>
    </row>
    <row r="351" spans="1:5" x14ac:dyDescent="0.25">
      <c r="A351" t="s">
        <v>738</v>
      </c>
      <c r="B351">
        <v>8</v>
      </c>
      <c r="C351" t="s">
        <v>11</v>
      </c>
      <c r="D351" t="s">
        <v>747</v>
      </c>
      <c r="E351" t="s">
        <v>740</v>
      </c>
    </row>
    <row r="352" spans="1:5" x14ac:dyDescent="0.25">
      <c r="A352" t="s">
        <v>738</v>
      </c>
      <c r="B352">
        <v>9</v>
      </c>
      <c r="C352" t="s">
        <v>11</v>
      </c>
      <c r="D352" t="s">
        <v>748</v>
      </c>
      <c r="E352" t="s">
        <v>740</v>
      </c>
    </row>
    <row r="353" spans="1:5" x14ac:dyDescent="0.25">
      <c r="A353" t="s">
        <v>738</v>
      </c>
      <c r="B353">
        <v>10</v>
      </c>
      <c r="C353" t="s">
        <v>11</v>
      </c>
      <c r="D353" t="s">
        <v>749</v>
      </c>
      <c r="E353" t="s">
        <v>740</v>
      </c>
    </row>
    <row r="354" spans="1:5" x14ac:dyDescent="0.25">
      <c r="A354" t="s">
        <v>738</v>
      </c>
      <c r="B354">
        <v>11</v>
      </c>
      <c r="C354" t="s">
        <v>11</v>
      </c>
      <c r="D354" t="s">
        <v>750</v>
      </c>
      <c r="E354" t="s">
        <v>740</v>
      </c>
    </row>
    <row r="355" spans="1:5" x14ac:dyDescent="0.25">
      <c r="A355" t="s">
        <v>738</v>
      </c>
      <c r="B355">
        <v>12</v>
      </c>
      <c r="C355" t="s">
        <v>11</v>
      </c>
      <c r="D355" t="s">
        <v>751</v>
      </c>
      <c r="E355" t="s">
        <v>740</v>
      </c>
    </row>
    <row r="356" spans="1:5" x14ac:dyDescent="0.25">
      <c r="A356" t="s">
        <v>738</v>
      </c>
      <c r="B356">
        <v>100</v>
      </c>
      <c r="C356" t="s">
        <v>11</v>
      </c>
      <c r="D356" t="s">
        <v>752</v>
      </c>
      <c r="E356" t="s">
        <v>740</v>
      </c>
    </row>
    <row r="357" spans="1:5" x14ac:dyDescent="0.25">
      <c r="A357" t="s">
        <v>738</v>
      </c>
      <c r="B357">
        <v>0</v>
      </c>
      <c r="C357" t="s">
        <v>11</v>
      </c>
      <c r="D357" t="s">
        <v>753</v>
      </c>
      <c r="E357" t="s">
        <v>740</v>
      </c>
    </row>
    <row r="358" spans="1:5" x14ac:dyDescent="0.25">
      <c r="A358" t="s">
        <v>754</v>
      </c>
      <c r="B358">
        <v>1</v>
      </c>
      <c r="C358" t="s">
        <v>11</v>
      </c>
      <c r="D358" t="s">
        <v>755</v>
      </c>
      <c r="E358" t="s">
        <v>756</v>
      </c>
    </row>
    <row r="359" spans="1:5" x14ac:dyDescent="0.25">
      <c r="A359" t="s">
        <v>754</v>
      </c>
      <c r="B359">
        <v>2</v>
      </c>
      <c r="C359" t="s">
        <v>11</v>
      </c>
      <c r="D359" t="s">
        <v>757</v>
      </c>
      <c r="E359" t="s">
        <v>756</v>
      </c>
    </row>
    <row r="360" spans="1:5" x14ac:dyDescent="0.25">
      <c r="A360" t="s">
        <v>754</v>
      </c>
      <c r="B360">
        <v>3</v>
      </c>
      <c r="C360" t="s">
        <v>11</v>
      </c>
      <c r="D360" t="s">
        <v>758</v>
      </c>
      <c r="E360" t="s">
        <v>756</v>
      </c>
    </row>
    <row r="361" spans="1:5" x14ac:dyDescent="0.25">
      <c r="A361" t="s">
        <v>754</v>
      </c>
      <c r="B361">
        <v>4</v>
      </c>
      <c r="C361" t="s">
        <v>11</v>
      </c>
      <c r="D361" t="s">
        <v>759</v>
      </c>
      <c r="E361" t="s">
        <v>756</v>
      </c>
    </row>
    <row r="362" spans="1:5" x14ac:dyDescent="0.25">
      <c r="A362" t="s">
        <v>754</v>
      </c>
      <c r="B362">
        <v>5</v>
      </c>
      <c r="C362" t="s">
        <v>11</v>
      </c>
      <c r="D362" t="s">
        <v>760</v>
      </c>
      <c r="E362" t="s">
        <v>756</v>
      </c>
    </row>
    <row r="363" spans="1:5" x14ac:dyDescent="0.25">
      <c r="A363" t="s">
        <v>754</v>
      </c>
      <c r="B363">
        <v>6</v>
      </c>
      <c r="C363" t="s">
        <v>11</v>
      </c>
      <c r="D363" t="s">
        <v>761</v>
      </c>
      <c r="E363" t="s">
        <v>756</v>
      </c>
    </row>
    <row r="364" spans="1:5" x14ac:dyDescent="0.25">
      <c r="A364" t="s">
        <v>754</v>
      </c>
      <c r="B364">
        <v>7</v>
      </c>
      <c r="C364" t="s">
        <v>11</v>
      </c>
      <c r="D364" t="s">
        <v>762</v>
      </c>
      <c r="E364" t="s">
        <v>756</v>
      </c>
    </row>
    <row r="365" spans="1:5" x14ac:dyDescent="0.25">
      <c r="A365" t="s">
        <v>754</v>
      </c>
      <c r="B365">
        <v>8</v>
      </c>
      <c r="C365" t="s">
        <v>11</v>
      </c>
      <c r="D365" t="s">
        <v>763</v>
      </c>
      <c r="E365" t="s">
        <v>756</v>
      </c>
    </row>
    <row r="366" spans="1:5" x14ac:dyDescent="0.25">
      <c r="A366" t="s">
        <v>754</v>
      </c>
      <c r="B366">
        <v>9</v>
      </c>
      <c r="C366" t="s">
        <v>11</v>
      </c>
      <c r="D366" t="s">
        <v>764</v>
      </c>
      <c r="E366" t="s">
        <v>756</v>
      </c>
    </row>
    <row r="367" spans="1:5" x14ac:dyDescent="0.25">
      <c r="A367" t="s">
        <v>754</v>
      </c>
      <c r="B367">
        <v>10</v>
      </c>
      <c r="C367" t="s">
        <v>11</v>
      </c>
      <c r="D367" t="s">
        <v>765</v>
      </c>
      <c r="E367" t="s">
        <v>756</v>
      </c>
    </row>
    <row r="368" spans="1:5" x14ac:dyDescent="0.25">
      <c r="A368" t="s">
        <v>754</v>
      </c>
      <c r="B368">
        <v>11</v>
      </c>
      <c r="C368" t="s">
        <v>11</v>
      </c>
      <c r="D368" t="s">
        <v>766</v>
      </c>
      <c r="E368" t="s">
        <v>756</v>
      </c>
    </row>
    <row r="369" spans="1:5" x14ac:dyDescent="0.25">
      <c r="A369" t="s">
        <v>754</v>
      </c>
      <c r="B369">
        <v>12</v>
      </c>
      <c r="C369" t="s">
        <v>11</v>
      </c>
      <c r="D369" t="s">
        <v>767</v>
      </c>
      <c r="E369" t="s">
        <v>756</v>
      </c>
    </row>
    <row r="370" spans="1:5" x14ac:dyDescent="0.25">
      <c r="A370" t="s">
        <v>754</v>
      </c>
      <c r="B370">
        <v>13</v>
      </c>
      <c r="C370" t="s">
        <v>11</v>
      </c>
      <c r="D370" t="s">
        <v>768</v>
      </c>
      <c r="E370" t="s">
        <v>756</v>
      </c>
    </row>
    <row r="371" spans="1:5" x14ac:dyDescent="0.25">
      <c r="A371" t="s">
        <v>754</v>
      </c>
      <c r="B371">
        <v>14</v>
      </c>
      <c r="C371" t="s">
        <v>11</v>
      </c>
      <c r="D371" t="s">
        <v>769</v>
      </c>
      <c r="E371" t="s">
        <v>756</v>
      </c>
    </row>
    <row r="372" spans="1:5" x14ac:dyDescent="0.25">
      <c r="A372" t="s">
        <v>754</v>
      </c>
      <c r="B372">
        <v>15</v>
      </c>
      <c r="C372" t="s">
        <v>11</v>
      </c>
      <c r="D372" t="s">
        <v>770</v>
      </c>
      <c r="E372" t="s">
        <v>756</v>
      </c>
    </row>
    <row r="373" spans="1:5" x14ac:dyDescent="0.25">
      <c r="A373" t="s">
        <v>754</v>
      </c>
      <c r="B373">
        <v>16</v>
      </c>
      <c r="C373" t="s">
        <v>11</v>
      </c>
      <c r="D373" t="s">
        <v>771</v>
      </c>
      <c r="E373" t="s">
        <v>756</v>
      </c>
    </row>
    <row r="374" spans="1:5" x14ac:dyDescent="0.25">
      <c r="A374" t="s">
        <v>754</v>
      </c>
      <c r="B374">
        <v>17</v>
      </c>
      <c r="C374" t="s">
        <v>11</v>
      </c>
      <c r="D374" t="s">
        <v>772</v>
      </c>
      <c r="E374" t="s">
        <v>756</v>
      </c>
    </row>
    <row r="375" spans="1:5" x14ac:dyDescent="0.25">
      <c r="A375" t="s">
        <v>754</v>
      </c>
      <c r="B375">
        <v>18</v>
      </c>
      <c r="C375" t="s">
        <v>11</v>
      </c>
      <c r="D375" t="s">
        <v>773</v>
      </c>
      <c r="E375" t="s">
        <v>756</v>
      </c>
    </row>
    <row r="376" spans="1:5" x14ac:dyDescent="0.25">
      <c r="A376" t="s">
        <v>754</v>
      </c>
      <c r="B376">
        <v>19</v>
      </c>
      <c r="C376" t="s">
        <v>11</v>
      </c>
      <c r="D376" t="s">
        <v>774</v>
      </c>
      <c r="E376" t="s">
        <v>756</v>
      </c>
    </row>
    <row r="377" spans="1:5" x14ac:dyDescent="0.25">
      <c r="A377" t="s">
        <v>754</v>
      </c>
      <c r="B377">
        <v>20</v>
      </c>
      <c r="C377" t="s">
        <v>11</v>
      </c>
      <c r="D377" t="s">
        <v>775</v>
      </c>
      <c r="E377" t="s">
        <v>756</v>
      </c>
    </row>
    <row r="378" spans="1:5" x14ac:dyDescent="0.25">
      <c r="A378" t="s">
        <v>754</v>
      </c>
      <c r="B378">
        <v>21</v>
      </c>
      <c r="C378" t="s">
        <v>11</v>
      </c>
      <c r="D378" t="s">
        <v>776</v>
      </c>
      <c r="E378" t="s">
        <v>756</v>
      </c>
    </row>
    <row r="379" spans="1:5" x14ac:dyDescent="0.25">
      <c r="A379" t="s">
        <v>754</v>
      </c>
      <c r="B379">
        <v>22</v>
      </c>
      <c r="C379" t="s">
        <v>11</v>
      </c>
      <c r="D379" t="s">
        <v>777</v>
      </c>
      <c r="E379" t="s">
        <v>756</v>
      </c>
    </row>
    <row r="380" spans="1:5" x14ac:dyDescent="0.25">
      <c r="A380" t="s">
        <v>754</v>
      </c>
      <c r="B380">
        <v>0</v>
      </c>
      <c r="C380" t="s">
        <v>11</v>
      </c>
      <c r="D380" t="s">
        <v>778</v>
      </c>
      <c r="E380" t="s">
        <v>756</v>
      </c>
    </row>
    <row r="381" spans="1:5" x14ac:dyDescent="0.25">
      <c r="A381" t="s">
        <v>779</v>
      </c>
      <c r="B381">
        <v>1</v>
      </c>
      <c r="C381" t="s">
        <v>780</v>
      </c>
      <c r="D381" t="s">
        <v>781</v>
      </c>
      <c r="E381" t="s">
        <v>782</v>
      </c>
    </row>
    <row r="382" spans="1:5" x14ac:dyDescent="0.25">
      <c r="A382" t="s">
        <v>779</v>
      </c>
      <c r="B382">
        <v>2</v>
      </c>
      <c r="C382" t="s">
        <v>780</v>
      </c>
      <c r="D382" t="s">
        <v>783</v>
      </c>
      <c r="E382" t="s">
        <v>782</v>
      </c>
    </row>
    <row r="383" spans="1:5" x14ac:dyDescent="0.25">
      <c r="A383" t="s">
        <v>779</v>
      </c>
      <c r="B383">
        <v>3</v>
      </c>
      <c r="C383" t="s">
        <v>780</v>
      </c>
      <c r="D383" t="s">
        <v>784</v>
      </c>
      <c r="E383" t="s">
        <v>782</v>
      </c>
    </row>
    <row r="384" spans="1:5" x14ac:dyDescent="0.25">
      <c r="A384" t="s">
        <v>779</v>
      </c>
      <c r="B384">
        <v>4</v>
      </c>
      <c r="C384" t="s">
        <v>780</v>
      </c>
      <c r="D384" t="s">
        <v>785</v>
      </c>
      <c r="E384" t="s">
        <v>782</v>
      </c>
    </row>
    <row r="385" spans="1:5" x14ac:dyDescent="0.25">
      <c r="A385" t="s">
        <v>779</v>
      </c>
      <c r="B385">
        <v>5</v>
      </c>
      <c r="C385" t="s">
        <v>780</v>
      </c>
      <c r="D385" t="s">
        <v>786</v>
      </c>
      <c r="E385" t="s">
        <v>782</v>
      </c>
    </row>
    <row r="386" spans="1:5" x14ac:dyDescent="0.25">
      <c r="A386" t="s">
        <v>779</v>
      </c>
      <c r="B386">
        <v>6</v>
      </c>
      <c r="C386" t="s">
        <v>780</v>
      </c>
      <c r="D386" t="s">
        <v>787</v>
      </c>
      <c r="E386" t="s">
        <v>782</v>
      </c>
    </row>
    <row r="387" spans="1:5" x14ac:dyDescent="0.25">
      <c r="A387" t="s">
        <v>779</v>
      </c>
      <c r="B387">
        <v>7</v>
      </c>
      <c r="C387" t="s">
        <v>780</v>
      </c>
      <c r="D387" t="s">
        <v>788</v>
      </c>
      <c r="E387" t="s">
        <v>782</v>
      </c>
    </row>
    <row r="388" spans="1:5" x14ac:dyDescent="0.25">
      <c r="A388" t="s">
        <v>779</v>
      </c>
      <c r="B388">
        <v>8</v>
      </c>
      <c r="C388" t="s">
        <v>780</v>
      </c>
      <c r="D388" t="s">
        <v>789</v>
      </c>
      <c r="E388" t="s">
        <v>782</v>
      </c>
    </row>
    <row r="389" spans="1:5" x14ac:dyDescent="0.25">
      <c r="A389" t="s">
        <v>779</v>
      </c>
      <c r="B389">
        <v>9</v>
      </c>
      <c r="C389" t="s">
        <v>780</v>
      </c>
      <c r="D389" t="s">
        <v>790</v>
      </c>
      <c r="E389" t="s">
        <v>782</v>
      </c>
    </row>
    <row r="390" spans="1:5" x14ac:dyDescent="0.25">
      <c r="A390" t="s">
        <v>779</v>
      </c>
      <c r="B390">
        <v>10</v>
      </c>
      <c r="C390" t="s">
        <v>780</v>
      </c>
      <c r="D390" t="s">
        <v>791</v>
      </c>
      <c r="E390" t="s">
        <v>782</v>
      </c>
    </row>
    <row r="391" spans="1:5" x14ac:dyDescent="0.25">
      <c r="A391" t="s">
        <v>779</v>
      </c>
      <c r="B391">
        <v>11</v>
      </c>
      <c r="C391" t="s">
        <v>780</v>
      </c>
      <c r="D391" t="s">
        <v>792</v>
      </c>
      <c r="E391" t="s">
        <v>782</v>
      </c>
    </row>
    <row r="392" spans="1:5" x14ac:dyDescent="0.25">
      <c r="A392" t="s">
        <v>793</v>
      </c>
      <c r="B392">
        <v>1</v>
      </c>
      <c r="C392" t="s">
        <v>11</v>
      </c>
      <c r="D392" t="s">
        <v>794</v>
      </c>
      <c r="E392" t="s">
        <v>795</v>
      </c>
    </row>
    <row r="393" spans="1:5" x14ac:dyDescent="0.25">
      <c r="A393" t="s">
        <v>793</v>
      </c>
      <c r="B393">
        <v>2</v>
      </c>
      <c r="C393" t="s">
        <v>11</v>
      </c>
      <c r="D393" t="s">
        <v>796</v>
      </c>
      <c r="E393" t="s">
        <v>795</v>
      </c>
    </row>
    <row r="394" spans="1:5" x14ac:dyDescent="0.25">
      <c r="A394" t="s">
        <v>793</v>
      </c>
      <c r="B394">
        <v>3</v>
      </c>
      <c r="C394" t="s">
        <v>11</v>
      </c>
      <c r="D394" t="s">
        <v>797</v>
      </c>
      <c r="E394" t="s">
        <v>795</v>
      </c>
    </row>
    <row r="395" spans="1:5" x14ac:dyDescent="0.25">
      <c r="A395" t="s">
        <v>793</v>
      </c>
      <c r="B395">
        <v>4</v>
      </c>
      <c r="C395" t="s">
        <v>11</v>
      </c>
      <c r="D395" t="s">
        <v>798</v>
      </c>
      <c r="E395" t="s">
        <v>795</v>
      </c>
    </row>
    <row r="396" spans="1:5" x14ac:dyDescent="0.25">
      <c r="A396" t="s">
        <v>793</v>
      </c>
      <c r="B396">
        <v>5</v>
      </c>
      <c r="C396" t="s">
        <v>11</v>
      </c>
      <c r="D396" t="s">
        <v>799</v>
      </c>
      <c r="E396" t="s">
        <v>795</v>
      </c>
    </row>
    <row r="397" spans="1:5" x14ac:dyDescent="0.25">
      <c r="A397" t="s">
        <v>793</v>
      </c>
      <c r="B397">
        <v>6</v>
      </c>
      <c r="C397" t="s">
        <v>11</v>
      </c>
      <c r="D397" t="s">
        <v>800</v>
      </c>
      <c r="E397" t="s">
        <v>795</v>
      </c>
    </row>
    <row r="398" spans="1:5" x14ac:dyDescent="0.25">
      <c r="A398" t="s">
        <v>793</v>
      </c>
      <c r="B398">
        <v>7</v>
      </c>
      <c r="C398" t="s">
        <v>11</v>
      </c>
      <c r="D398" t="s">
        <v>801</v>
      </c>
      <c r="E398" t="s">
        <v>795</v>
      </c>
    </row>
    <row r="399" spans="1:5" x14ac:dyDescent="0.25">
      <c r="A399" t="s">
        <v>793</v>
      </c>
      <c r="B399">
        <v>8</v>
      </c>
      <c r="C399" t="s">
        <v>11</v>
      </c>
      <c r="D399" t="s">
        <v>802</v>
      </c>
      <c r="E399" t="s">
        <v>795</v>
      </c>
    </row>
    <row r="400" spans="1:5" x14ac:dyDescent="0.25">
      <c r="A400" t="s">
        <v>793</v>
      </c>
      <c r="B400">
        <v>9</v>
      </c>
      <c r="C400" t="s">
        <v>11</v>
      </c>
      <c r="D400" t="s">
        <v>803</v>
      </c>
      <c r="E400" t="s">
        <v>795</v>
      </c>
    </row>
    <row r="401" spans="1:5" x14ac:dyDescent="0.25">
      <c r="A401" t="s">
        <v>793</v>
      </c>
      <c r="B401">
        <v>10</v>
      </c>
      <c r="C401" t="s">
        <v>11</v>
      </c>
      <c r="D401" t="s">
        <v>804</v>
      </c>
      <c r="E401" t="s">
        <v>795</v>
      </c>
    </row>
    <row r="402" spans="1:5" x14ac:dyDescent="0.25">
      <c r="A402" t="s">
        <v>793</v>
      </c>
      <c r="B402">
        <v>11</v>
      </c>
      <c r="C402" t="s">
        <v>11</v>
      </c>
      <c r="D402" t="s">
        <v>805</v>
      </c>
      <c r="E402" t="s">
        <v>795</v>
      </c>
    </row>
    <row r="403" spans="1:5" x14ac:dyDescent="0.25">
      <c r="A403" t="s">
        <v>793</v>
      </c>
      <c r="B403">
        <v>12</v>
      </c>
      <c r="C403" t="s">
        <v>11</v>
      </c>
      <c r="D403" t="s">
        <v>806</v>
      </c>
      <c r="E403" t="s">
        <v>795</v>
      </c>
    </row>
    <row r="404" spans="1:5" x14ac:dyDescent="0.25">
      <c r="A404" t="s">
        <v>793</v>
      </c>
      <c r="B404">
        <v>13</v>
      </c>
      <c r="C404" t="s">
        <v>11</v>
      </c>
      <c r="D404" t="s">
        <v>807</v>
      </c>
      <c r="E404" t="s">
        <v>795</v>
      </c>
    </row>
    <row r="405" spans="1:5" x14ac:dyDescent="0.25">
      <c r="A405" t="s">
        <v>793</v>
      </c>
      <c r="B405">
        <v>14</v>
      </c>
      <c r="C405" t="s">
        <v>11</v>
      </c>
      <c r="D405" t="s">
        <v>808</v>
      </c>
      <c r="E405" t="s">
        <v>795</v>
      </c>
    </row>
    <row r="406" spans="1:5" x14ac:dyDescent="0.25">
      <c r="A406" t="s">
        <v>793</v>
      </c>
      <c r="B406">
        <v>15</v>
      </c>
      <c r="C406" t="s">
        <v>11</v>
      </c>
      <c r="D406" t="s">
        <v>809</v>
      </c>
      <c r="E406" t="s">
        <v>795</v>
      </c>
    </row>
    <row r="407" spans="1:5" x14ac:dyDescent="0.25">
      <c r="A407" t="s">
        <v>793</v>
      </c>
      <c r="B407">
        <v>16</v>
      </c>
      <c r="C407" t="s">
        <v>11</v>
      </c>
      <c r="D407" t="s">
        <v>810</v>
      </c>
      <c r="E407" t="s">
        <v>795</v>
      </c>
    </row>
    <row r="408" spans="1:5" x14ac:dyDescent="0.25">
      <c r="A408" t="s">
        <v>793</v>
      </c>
      <c r="B408">
        <v>17</v>
      </c>
      <c r="C408" t="s">
        <v>11</v>
      </c>
      <c r="D408" t="s">
        <v>811</v>
      </c>
      <c r="E408" t="s">
        <v>795</v>
      </c>
    </row>
    <row r="409" spans="1:5" x14ac:dyDescent="0.25">
      <c r="A409" t="s">
        <v>793</v>
      </c>
      <c r="B409">
        <v>18</v>
      </c>
      <c r="C409" t="s">
        <v>11</v>
      </c>
      <c r="D409" t="s">
        <v>812</v>
      </c>
      <c r="E409" t="s">
        <v>795</v>
      </c>
    </row>
    <row r="410" spans="1:5" x14ac:dyDescent="0.25">
      <c r="A410" t="s">
        <v>793</v>
      </c>
      <c r="B410">
        <v>19</v>
      </c>
      <c r="C410" t="s">
        <v>11</v>
      </c>
      <c r="D410" t="s">
        <v>813</v>
      </c>
      <c r="E410" t="s">
        <v>795</v>
      </c>
    </row>
    <row r="411" spans="1:5" x14ac:dyDescent="0.25">
      <c r="A411" t="s">
        <v>793</v>
      </c>
      <c r="B411">
        <v>20</v>
      </c>
      <c r="C411" t="s">
        <v>11</v>
      </c>
      <c r="D411" t="s">
        <v>814</v>
      </c>
      <c r="E411" t="s">
        <v>795</v>
      </c>
    </row>
    <row r="412" spans="1:5" x14ac:dyDescent="0.25">
      <c r="A412" t="s">
        <v>793</v>
      </c>
      <c r="B412">
        <v>21</v>
      </c>
      <c r="C412" t="s">
        <v>11</v>
      </c>
      <c r="D412" t="s">
        <v>815</v>
      </c>
      <c r="E412" t="s">
        <v>795</v>
      </c>
    </row>
    <row r="413" spans="1:5" x14ac:dyDescent="0.25">
      <c r="A413" t="s">
        <v>793</v>
      </c>
      <c r="B413">
        <v>22</v>
      </c>
      <c r="C413" t="s">
        <v>11</v>
      </c>
      <c r="D413" t="s">
        <v>816</v>
      </c>
      <c r="E413" t="s">
        <v>795</v>
      </c>
    </row>
    <row r="414" spans="1:5" x14ac:dyDescent="0.25">
      <c r="A414" t="s">
        <v>793</v>
      </c>
      <c r="B414">
        <v>23</v>
      </c>
      <c r="C414" t="s">
        <v>11</v>
      </c>
      <c r="D414" t="s">
        <v>817</v>
      </c>
      <c r="E414" t="s">
        <v>795</v>
      </c>
    </row>
    <row r="415" spans="1:5" x14ac:dyDescent="0.25">
      <c r="A415" t="s">
        <v>793</v>
      </c>
      <c r="B415">
        <v>24</v>
      </c>
      <c r="C415" t="s">
        <v>11</v>
      </c>
      <c r="D415" t="s">
        <v>818</v>
      </c>
      <c r="E415" t="s">
        <v>795</v>
      </c>
    </row>
    <row r="416" spans="1:5" x14ac:dyDescent="0.25">
      <c r="A416" t="s">
        <v>793</v>
      </c>
      <c r="B416">
        <v>25</v>
      </c>
      <c r="C416" t="s">
        <v>11</v>
      </c>
      <c r="D416" t="s">
        <v>819</v>
      </c>
      <c r="E416" t="s">
        <v>795</v>
      </c>
    </row>
    <row r="417" spans="1:5" x14ac:dyDescent="0.25">
      <c r="A417" t="s">
        <v>793</v>
      </c>
      <c r="B417">
        <v>26</v>
      </c>
      <c r="C417" t="s">
        <v>11</v>
      </c>
      <c r="D417" t="s">
        <v>820</v>
      </c>
      <c r="E417" t="s">
        <v>795</v>
      </c>
    </row>
    <row r="418" spans="1:5" x14ac:dyDescent="0.25">
      <c r="A418" t="s">
        <v>793</v>
      </c>
      <c r="B418">
        <v>100</v>
      </c>
      <c r="C418" t="s">
        <v>11</v>
      </c>
      <c r="D418" t="s">
        <v>821</v>
      </c>
      <c r="E418" t="s">
        <v>795</v>
      </c>
    </row>
    <row r="419" spans="1:5" x14ac:dyDescent="0.25">
      <c r="A419" t="s">
        <v>793</v>
      </c>
      <c r="B419">
        <v>0</v>
      </c>
      <c r="C419" t="s">
        <v>11</v>
      </c>
      <c r="D419" t="s">
        <v>822</v>
      </c>
      <c r="E419" t="s">
        <v>795</v>
      </c>
    </row>
    <row r="420" spans="1:5" x14ac:dyDescent="0.25">
      <c r="A420" t="s">
        <v>823</v>
      </c>
      <c r="C420" t="s">
        <v>306</v>
      </c>
      <c r="D420" t="s">
        <v>823</v>
      </c>
      <c r="E420" t="s">
        <v>824</v>
      </c>
    </row>
    <row r="421" spans="1:5" x14ac:dyDescent="0.25">
      <c r="A421" t="s">
        <v>825</v>
      </c>
      <c r="B421">
        <v>1</v>
      </c>
      <c r="C421" t="s">
        <v>11</v>
      </c>
      <c r="D421" t="s">
        <v>826</v>
      </c>
      <c r="E421" t="s">
        <v>827</v>
      </c>
    </row>
    <row r="422" spans="1:5" x14ac:dyDescent="0.25">
      <c r="A422" t="s">
        <v>825</v>
      </c>
      <c r="B422">
        <v>2</v>
      </c>
      <c r="C422" t="s">
        <v>11</v>
      </c>
      <c r="D422" t="s">
        <v>828</v>
      </c>
      <c r="E422" t="s">
        <v>827</v>
      </c>
    </row>
    <row r="423" spans="1:5" x14ac:dyDescent="0.25">
      <c r="A423" t="s">
        <v>825</v>
      </c>
      <c r="B423">
        <v>3</v>
      </c>
      <c r="C423" t="s">
        <v>11</v>
      </c>
      <c r="D423" t="s">
        <v>829</v>
      </c>
      <c r="E423" t="s">
        <v>827</v>
      </c>
    </row>
    <row r="424" spans="1:5" x14ac:dyDescent="0.25">
      <c r="A424" t="s">
        <v>825</v>
      </c>
      <c r="B424">
        <v>4</v>
      </c>
      <c r="C424" t="s">
        <v>11</v>
      </c>
      <c r="D424" t="s">
        <v>830</v>
      </c>
      <c r="E424" t="s">
        <v>827</v>
      </c>
    </row>
    <row r="425" spans="1:5" x14ac:dyDescent="0.25">
      <c r="A425" t="s">
        <v>825</v>
      </c>
      <c r="B425">
        <v>5</v>
      </c>
      <c r="C425" t="s">
        <v>11</v>
      </c>
      <c r="D425" t="s">
        <v>831</v>
      </c>
      <c r="E425" t="s">
        <v>827</v>
      </c>
    </row>
    <row r="426" spans="1:5" x14ac:dyDescent="0.25">
      <c r="A426" t="s">
        <v>825</v>
      </c>
      <c r="B426">
        <v>6</v>
      </c>
      <c r="C426" t="s">
        <v>11</v>
      </c>
      <c r="D426" t="s">
        <v>832</v>
      </c>
      <c r="E426" t="s">
        <v>827</v>
      </c>
    </row>
    <row r="427" spans="1:5" x14ac:dyDescent="0.25">
      <c r="A427" t="s">
        <v>825</v>
      </c>
      <c r="B427">
        <v>7</v>
      </c>
      <c r="C427" t="s">
        <v>11</v>
      </c>
      <c r="D427" t="s">
        <v>833</v>
      </c>
      <c r="E427" t="s">
        <v>827</v>
      </c>
    </row>
    <row r="428" spans="1:5" x14ac:dyDescent="0.25">
      <c r="A428" t="s">
        <v>825</v>
      </c>
      <c r="B428">
        <v>8</v>
      </c>
      <c r="C428" t="s">
        <v>11</v>
      </c>
      <c r="D428" t="s">
        <v>834</v>
      </c>
      <c r="E428" t="s">
        <v>827</v>
      </c>
    </row>
    <row r="429" spans="1:5" x14ac:dyDescent="0.25">
      <c r="A429" t="s">
        <v>825</v>
      </c>
      <c r="B429">
        <v>9</v>
      </c>
      <c r="C429" t="s">
        <v>11</v>
      </c>
      <c r="D429" t="s">
        <v>835</v>
      </c>
      <c r="E429" t="s">
        <v>827</v>
      </c>
    </row>
    <row r="430" spans="1:5" x14ac:dyDescent="0.25">
      <c r="A430" t="s">
        <v>825</v>
      </c>
      <c r="B430">
        <v>10</v>
      </c>
      <c r="C430" t="s">
        <v>11</v>
      </c>
      <c r="D430" t="s">
        <v>836</v>
      </c>
      <c r="E430" t="s">
        <v>827</v>
      </c>
    </row>
    <row r="431" spans="1:5" x14ac:dyDescent="0.25">
      <c r="A431" t="s">
        <v>825</v>
      </c>
      <c r="B431">
        <v>0</v>
      </c>
      <c r="C431" t="s">
        <v>11</v>
      </c>
      <c r="D431" t="s">
        <v>837</v>
      </c>
      <c r="E431" t="s">
        <v>827</v>
      </c>
    </row>
    <row r="432" spans="1:5" x14ac:dyDescent="0.25">
      <c r="A432" t="s">
        <v>838</v>
      </c>
      <c r="B432">
        <v>1</v>
      </c>
      <c r="C432" t="s">
        <v>11</v>
      </c>
      <c r="D432" t="s">
        <v>839</v>
      </c>
      <c r="E432" t="s">
        <v>840</v>
      </c>
    </row>
    <row r="433" spans="1:5" x14ac:dyDescent="0.25">
      <c r="A433" t="s">
        <v>838</v>
      </c>
      <c r="B433">
        <v>2</v>
      </c>
      <c r="C433" t="s">
        <v>11</v>
      </c>
      <c r="D433" t="s">
        <v>841</v>
      </c>
      <c r="E433" t="s">
        <v>840</v>
      </c>
    </row>
    <row r="434" spans="1:5" x14ac:dyDescent="0.25">
      <c r="A434" t="s">
        <v>838</v>
      </c>
      <c r="B434">
        <v>3</v>
      </c>
      <c r="C434" t="s">
        <v>11</v>
      </c>
      <c r="D434" t="s">
        <v>842</v>
      </c>
      <c r="E434" t="s">
        <v>840</v>
      </c>
    </row>
    <row r="435" spans="1:5" x14ac:dyDescent="0.25">
      <c r="A435" t="s">
        <v>838</v>
      </c>
      <c r="B435">
        <v>4</v>
      </c>
      <c r="C435" t="s">
        <v>11</v>
      </c>
      <c r="D435" t="s">
        <v>843</v>
      </c>
      <c r="E435" t="s">
        <v>840</v>
      </c>
    </row>
    <row r="436" spans="1:5" x14ac:dyDescent="0.25">
      <c r="A436" t="s">
        <v>838</v>
      </c>
      <c r="B436">
        <v>5</v>
      </c>
      <c r="C436" t="s">
        <v>11</v>
      </c>
      <c r="D436" t="s">
        <v>844</v>
      </c>
      <c r="E436" t="s">
        <v>840</v>
      </c>
    </row>
    <row r="437" spans="1:5" x14ac:dyDescent="0.25">
      <c r="A437" t="s">
        <v>838</v>
      </c>
      <c r="B437">
        <v>6</v>
      </c>
      <c r="C437" t="s">
        <v>11</v>
      </c>
      <c r="D437" t="s">
        <v>845</v>
      </c>
      <c r="E437" t="s">
        <v>840</v>
      </c>
    </row>
    <row r="438" spans="1:5" x14ac:dyDescent="0.25">
      <c r="A438" t="s">
        <v>838</v>
      </c>
      <c r="B438">
        <v>7</v>
      </c>
      <c r="C438" t="s">
        <v>11</v>
      </c>
      <c r="D438" t="s">
        <v>846</v>
      </c>
      <c r="E438" t="s">
        <v>840</v>
      </c>
    </row>
    <row r="439" spans="1:5" x14ac:dyDescent="0.25">
      <c r="A439" t="s">
        <v>838</v>
      </c>
      <c r="B439">
        <v>8</v>
      </c>
      <c r="C439" t="s">
        <v>11</v>
      </c>
      <c r="D439" t="s">
        <v>847</v>
      </c>
      <c r="E439" t="s">
        <v>840</v>
      </c>
    </row>
    <row r="440" spans="1:5" x14ac:dyDescent="0.25">
      <c r="A440" t="s">
        <v>838</v>
      </c>
      <c r="B440">
        <v>9</v>
      </c>
      <c r="C440" t="s">
        <v>11</v>
      </c>
      <c r="D440" t="s">
        <v>848</v>
      </c>
      <c r="E440" t="s">
        <v>840</v>
      </c>
    </row>
    <row r="441" spans="1:5" x14ac:dyDescent="0.25">
      <c r="A441" t="s">
        <v>838</v>
      </c>
      <c r="B441">
        <v>10</v>
      </c>
      <c r="C441" t="s">
        <v>11</v>
      </c>
      <c r="D441" t="s">
        <v>849</v>
      </c>
      <c r="E441" t="s">
        <v>840</v>
      </c>
    </row>
    <row r="442" spans="1:5" x14ac:dyDescent="0.25">
      <c r="A442" t="s">
        <v>838</v>
      </c>
      <c r="B442">
        <v>11</v>
      </c>
      <c r="C442" t="s">
        <v>11</v>
      </c>
      <c r="D442" t="s">
        <v>850</v>
      </c>
      <c r="E442" t="s">
        <v>840</v>
      </c>
    </row>
    <row r="443" spans="1:5" x14ac:dyDescent="0.25">
      <c r="A443" t="s">
        <v>838</v>
      </c>
      <c r="B443">
        <v>12</v>
      </c>
      <c r="C443" t="s">
        <v>11</v>
      </c>
      <c r="D443" t="s">
        <v>851</v>
      </c>
      <c r="E443" t="s">
        <v>840</v>
      </c>
    </row>
    <row r="444" spans="1:5" x14ac:dyDescent="0.25">
      <c r="A444" t="s">
        <v>838</v>
      </c>
      <c r="B444">
        <v>13</v>
      </c>
      <c r="C444" t="s">
        <v>11</v>
      </c>
      <c r="D444" t="s">
        <v>852</v>
      </c>
      <c r="E444" t="s">
        <v>840</v>
      </c>
    </row>
    <row r="445" spans="1:5" x14ac:dyDescent="0.25">
      <c r="A445" t="s">
        <v>838</v>
      </c>
      <c r="B445">
        <v>14</v>
      </c>
      <c r="C445" t="s">
        <v>11</v>
      </c>
      <c r="D445" t="s">
        <v>853</v>
      </c>
      <c r="E445" t="s">
        <v>840</v>
      </c>
    </row>
    <row r="446" spans="1:5" x14ac:dyDescent="0.25">
      <c r="A446" t="s">
        <v>838</v>
      </c>
      <c r="B446">
        <v>0</v>
      </c>
      <c r="C446" t="s">
        <v>11</v>
      </c>
      <c r="D446" t="s">
        <v>854</v>
      </c>
      <c r="E446" t="s">
        <v>840</v>
      </c>
    </row>
    <row r="447" spans="1:5" x14ac:dyDescent="0.25">
      <c r="A447" t="s">
        <v>855</v>
      </c>
      <c r="C447" t="s">
        <v>306</v>
      </c>
      <c r="D447" t="s">
        <v>856</v>
      </c>
      <c r="E447" t="s">
        <v>857</v>
      </c>
    </row>
    <row r="448" spans="1:5" x14ac:dyDescent="0.25">
      <c r="A448" t="s">
        <v>858</v>
      </c>
      <c r="C448" t="s">
        <v>321</v>
      </c>
      <c r="D448" t="s">
        <v>36</v>
      </c>
      <c r="E448" t="s">
        <v>859</v>
      </c>
    </row>
    <row r="449" spans="1:13" x14ac:dyDescent="0.25">
      <c r="A449" t="s">
        <v>860</v>
      </c>
      <c r="C449" t="s">
        <v>861</v>
      </c>
      <c r="D449" t="s">
        <v>860</v>
      </c>
      <c r="L449" t="s">
        <v>862</v>
      </c>
      <c r="M449" t="s">
        <v>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00D6-C423-4667-AA9B-0A14CF9C9F15}">
  <dimension ref="A1:J3"/>
  <sheetViews>
    <sheetView workbookViewId="0">
      <selection sqref="A1:J3"/>
    </sheetView>
  </sheetViews>
  <sheetFormatPr defaultRowHeight="15" x14ac:dyDescent="0.25"/>
  <sheetData>
    <row r="1" spans="1:10" x14ac:dyDescent="0.25">
      <c r="A1" t="s">
        <v>864</v>
      </c>
      <c r="B1" t="s">
        <v>865</v>
      </c>
      <c r="C1" t="s">
        <v>866</v>
      </c>
      <c r="D1" t="s">
        <v>867</v>
      </c>
      <c r="E1" t="s">
        <v>868</v>
      </c>
      <c r="F1" t="s">
        <v>869</v>
      </c>
      <c r="G1" t="s">
        <v>870</v>
      </c>
      <c r="H1" t="s">
        <v>871</v>
      </c>
      <c r="I1" t="s">
        <v>872</v>
      </c>
      <c r="J1" t="s">
        <v>873</v>
      </c>
    </row>
    <row r="2" spans="1:10" x14ac:dyDescent="0.25">
      <c r="A2" t="s">
        <v>310</v>
      </c>
      <c r="B2" t="s">
        <v>310</v>
      </c>
      <c r="C2" t="s">
        <v>310</v>
      </c>
      <c r="D2" t="s">
        <v>874</v>
      </c>
      <c r="E2" t="s">
        <v>310</v>
      </c>
      <c r="F2">
        <v>100</v>
      </c>
      <c r="J2" t="s">
        <v>310</v>
      </c>
    </row>
    <row r="3" spans="1:10" x14ac:dyDescent="0.25">
      <c r="A3" t="s">
        <v>333</v>
      </c>
      <c r="B3" t="s">
        <v>333</v>
      </c>
      <c r="C3" t="s">
        <v>333</v>
      </c>
      <c r="D3" t="s">
        <v>333</v>
      </c>
      <c r="E3" t="s">
        <v>333</v>
      </c>
      <c r="F3">
        <v>200</v>
      </c>
      <c r="J3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BrandFields</vt:lpstr>
      <vt:lpstr>ProfilingFields</vt:lpstr>
      <vt:lpstr>Subsets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Connell</dc:creator>
  <cp:lastModifiedBy>David Connell</cp:lastModifiedBy>
  <dcterms:created xsi:type="dcterms:W3CDTF">2015-06-05T18:17:20Z</dcterms:created>
  <dcterms:modified xsi:type="dcterms:W3CDTF">2019-11-23T13:59:35Z</dcterms:modified>
</cp:coreProperties>
</file>