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BrandVue\doc\AllVue\"/>
    </mc:Choice>
  </mc:AlternateContent>
  <xr:revisionPtr revIDLastSave="0" documentId="13_ncr:1_{C344F2B9-48A7-43FD-BAB9-09C8018ABEAE}" xr6:coauthVersionLast="28" xr6:coauthVersionMax="28" xr10:uidLastSave="{00000000-0000-0000-0000-000000000000}"/>
  <bookViews>
    <workbookView xWindow="0" yWindow="0" windowWidth="22095" windowHeight="4680" xr2:uid="{CDE783A8-F058-4A14-9E07-ED05D63A4227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45" i="1" l="1"/>
  <c r="P45" i="1"/>
  <c r="V45" i="1"/>
  <c r="U45" i="1"/>
  <c r="T45" i="1"/>
  <c r="S45" i="1"/>
  <c r="R45" i="1"/>
  <c r="O45" i="1"/>
  <c r="N45" i="1"/>
  <c r="M45" i="1"/>
  <c r="L45" i="1"/>
  <c r="K45" i="1"/>
  <c r="J45" i="1"/>
  <c r="I45" i="1"/>
  <c r="H45" i="1"/>
  <c r="G45" i="1"/>
  <c r="F45" i="1"/>
  <c r="E45" i="1"/>
  <c r="D45" i="1"/>
  <c r="V44" i="1"/>
  <c r="V43" i="1"/>
  <c r="V42" i="1"/>
  <c r="V41" i="1"/>
  <c r="V40" i="1"/>
  <c r="V39" i="1"/>
  <c r="V38" i="1"/>
  <c r="V37" i="1"/>
  <c r="V36" i="1"/>
  <c r="V35" i="1"/>
  <c r="V34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  <c r="V9" i="1"/>
  <c r="V8" i="1"/>
  <c r="U44" i="1"/>
  <c r="U43" i="1"/>
  <c r="U42" i="1"/>
  <c r="U41" i="1"/>
  <c r="U40" i="1"/>
  <c r="U39" i="1"/>
  <c r="U38" i="1"/>
  <c r="U37" i="1"/>
  <c r="U36" i="1"/>
  <c r="U35" i="1"/>
  <c r="U34" i="1"/>
  <c r="U33" i="1"/>
  <c r="U32" i="1"/>
  <c r="U31" i="1"/>
  <c r="U30" i="1"/>
  <c r="U29" i="1"/>
  <c r="U28" i="1"/>
  <c r="U27" i="1"/>
  <c r="U26" i="1"/>
  <c r="U25" i="1"/>
  <c r="U24" i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U9" i="1"/>
  <c r="U8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S44" i="1"/>
  <c r="S43" i="1"/>
  <c r="S42" i="1"/>
  <c r="S41" i="1"/>
  <c r="S40" i="1"/>
  <c r="S39" i="1"/>
  <c r="S38" i="1"/>
  <c r="S37" i="1"/>
  <c r="S36" i="1"/>
  <c r="S35" i="1"/>
  <c r="S34" i="1"/>
  <c r="S33" i="1"/>
  <c r="S32" i="1"/>
  <c r="S31" i="1"/>
  <c r="S30" i="1"/>
  <c r="S29" i="1"/>
  <c r="S28" i="1"/>
  <c r="S27" i="1"/>
  <c r="S26" i="1"/>
  <c r="S25" i="1"/>
  <c r="S24" i="1"/>
  <c r="S23" i="1"/>
  <c r="S22" i="1"/>
  <c r="S21" i="1"/>
  <c r="S20" i="1"/>
  <c r="S19" i="1"/>
  <c r="S18" i="1"/>
  <c r="S17" i="1"/>
  <c r="S16" i="1"/>
  <c r="S15" i="1"/>
  <c r="S14" i="1"/>
  <c r="S13" i="1"/>
  <c r="S12" i="1"/>
  <c r="S11" i="1"/>
  <c r="S10" i="1"/>
  <c r="S9" i="1"/>
  <c r="S8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Q44" i="1"/>
  <c r="P44" i="1"/>
  <c r="Q43" i="1"/>
  <c r="P43" i="1"/>
  <c r="Q42" i="1"/>
  <c r="P42" i="1"/>
  <c r="Q41" i="1"/>
  <c r="P41" i="1"/>
  <c r="Q40" i="1"/>
  <c r="P40" i="1"/>
  <c r="Q39" i="1"/>
  <c r="P39" i="1"/>
  <c r="Q38" i="1"/>
  <c r="P38" i="1"/>
  <c r="Q37" i="1"/>
  <c r="P37" i="1"/>
  <c r="Q36" i="1"/>
  <c r="P36" i="1"/>
  <c r="Q35" i="1"/>
  <c r="P35" i="1"/>
  <c r="Q34" i="1"/>
  <c r="P34" i="1"/>
  <c r="Q33" i="1"/>
  <c r="P33" i="1"/>
  <c r="Q32" i="1"/>
  <c r="P32" i="1"/>
  <c r="Q31" i="1"/>
  <c r="P31" i="1"/>
  <c r="Q30" i="1"/>
  <c r="P30" i="1"/>
  <c r="Q29" i="1"/>
  <c r="P29" i="1"/>
  <c r="Q28" i="1"/>
  <c r="P28" i="1"/>
  <c r="Q27" i="1"/>
  <c r="P27" i="1"/>
  <c r="Q26" i="1"/>
  <c r="P26" i="1"/>
  <c r="Q25" i="1"/>
  <c r="P25" i="1"/>
  <c r="Q24" i="1"/>
  <c r="P24" i="1"/>
  <c r="Q23" i="1"/>
  <c r="P23" i="1"/>
  <c r="Q22" i="1"/>
  <c r="P22" i="1"/>
  <c r="Q21" i="1"/>
  <c r="P21" i="1"/>
  <c r="Q20" i="1"/>
  <c r="P20" i="1"/>
  <c r="Q19" i="1"/>
  <c r="P19" i="1"/>
  <c r="Q18" i="1"/>
  <c r="P18" i="1"/>
  <c r="Q17" i="1"/>
  <c r="P17" i="1"/>
  <c r="Q16" i="1"/>
  <c r="P16" i="1"/>
  <c r="Q15" i="1"/>
  <c r="P15" i="1"/>
  <c r="Q14" i="1"/>
  <c r="P14" i="1"/>
  <c r="Q13" i="1"/>
  <c r="P13" i="1"/>
  <c r="Q12" i="1"/>
  <c r="P12" i="1"/>
  <c r="Q11" i="1"/>
  <c r="P11" i="1"/>
  <c r="Q10" i="1"/>
  <c r="P10" i="1"/>
  <c r="Q9" i="1"/>
  <c r="P9" i="1"/>
  <c r="Q8" i="1"/>
  <c r="P8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M44" i="1"/>
  <c r="L44" i="1"/>
  <c r="M43" i="1"/>
  <c r="L43" i="1"/>
  <c r="M42" i="1"/>
  <c r="L42" i="1"/>
  <c r="M41" i="1"/>
  <c r="L41" i="1"/>
  <c r="M40" i="1"/>
  <c r="L40" i="1"/>
  <c r="M39" i="1"/>
  <c r="L39" i="1"/>
  <c r="M38" i="1"/>
  <c r="L38" i="1"/>
  <c r="M37" i="1"/>
  <c r="L37" i="1"/>
  <c r="M36" i="1"/>
  <c r="L36" i="1"/>
  <c r="M35" i="1"/>
  <c r="L35" i="1"/>
  <c r="M34" i="1"/>
  <c r="L34" i="1"/>
  <c r="M33" i="1"/>
  <c r="L33" i="1"/>
  <c r="M32" i="1"/>
  <c r="L32" i="1"/>
  <c r="M31" i="1"/>
  <c r="L31" i="1"/>
  <c r="M30" i="1"/>
  <c r="L30" i="1"/>
  <c r="M29" i="1"/>
  <c r="L29" i="1"/>
  <c r="M28" i="1"/>
  <c r="L28" i="1"/>
  <c r="M27" i="1"/>
  <c r="L27" i="1"/>
  <c r="M26" i="1"/>
  <c r="L26" i="1"/>
  <c r="M25" i="1"/>
  <c r="L25" i="1"/>
  <c r="M24" i="1"/>
  <c r="L24" i="1"/>
  <c r="M23" i="1"/>
  <c r="L23" i="1"/>
  <c r="M22" i="1"/>
  <c r="L22" i="1"/>
  <c r="M21" i="1"/>
  <c r="L21" i="1"/>
  <c r="M20" i="1"/>
  <c r="L20" i="1"/>
  <c r="M19" i="1"/>
  <c r="L19" i="1"/>
  <c r="M18" i="1"/>
  <c r="L18" i="1"/>
  <c r="M17" i="1"/>
  <c r="L17" i="1"/>
  <c r="M16" i="1"/>
  <c r="L16" i="1"/>
  <c r="M15" i="1"/>
  <c r="L15" i="1"/>
  <c r="M14" i="1"/>
  <c r="L14" i="1"/>
  <c r="M13" i="1"/>
  <c r="L13" i="1"/>
  <c r="M12" i="1"/>
  <c r="L12" i="1"/>
  <c r="M11" i="1"/>
  <c r="L11" i="1"/>
  <c r="M10" i="1"/>
  <c r="L10" i="1"/>
  <c r="M9" i="1"/>
  <c r="L9" i="1"/>
  <c r="M8" i="1"/>
  <c r="K10" i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K34" i="1" s="1"/>
  <c r="K35" i="1" s="1"/>
  <c r="K36" i="1" s="1"/>
  <c r="K37" i="1" s="1"/>
  <c r="K38" i="1" s="1"/>
  <c r="K39" i="1" s="1"/>
  <c r="K40" i="1" s="1"/>
  <c r="K41" i="1" s="1"/>
  <c r="K42" i="1" s="1"/>
  <c r="K43" i="1" s="1"/>
  <c r="K44" i="1" s="1"/>
  <c r="K9" i="1"/>
  <c r="J10" i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J32" i="1" s="1"/>
  <c r="J33" i="1" s="1"/>
  <c r="J34" i="1" s="1"/>
  <c r="J35" i="1" s="1"/>
  <c r="J36" i="1" s="1"/>
  <c r="J37" i="1" s="1"/>
  <c r="J38" i="1" s="1"/>
  <c r="J39" i="1" s="1"/>
  <c r="J40" i="1" s="1"/>
  <c r="J41" i="1" s="1"/>
  <c r="J42" i="1" s="1"/>
  <c r="J43" i="1" s="1"/>
  <c r="J44" i="1" s="1"/>
  <c r="J9" i="1"/>
  <c r="L8" i="1"/>
  <c r="D34" i="1"/>
  <c r="D35" i="1" s="1"/>
  <c r="G33" i="1"/>
  <c r="G34" i="1" s="1"/>
  <c r="G35" i="1" s="1"/>
  <c r="G36" i="1" s="1"/>
  <c r="G37" i="1" s="1"/>
  <c r="G38" i="1" s="1"/>
  <c r="G39" i="1" s="1"/>
  <c r="G40" i="1" s="1"/>
  <c r="G41" i="1" s="1"/>
  <c r="G42" i="1" s="1"/>
  <c r="G43" i="1" s="1"/>
  <c r="F33" i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E33" i="1"/>
  <c r="E34" i="1" s="1"/>
  <c r="D33" i="1"/>
  <c r="H33" i="1"/>
  <c r="D22" i="1"/>
  <c r="G21" i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F21" i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E21" i="1"/>
  <c r="E22" i="1" s="1"/>
  <c r="D21" i="1"/>
  <c r="H21" i="1"/>
  <c r="E12" i="1"/>
  <c r="E13" i="1" s="1"/>
  <c r="E11" i="1"/>
  <c r="G10" i="1"/>
  <c r="G11" i="1" s="1"/>
  <c r="E10" i="1"/>
  <c r="G9" i="1"/>
  <c r="I9" i="1" s="1"/>
  <c r="F9" i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E9" i="1"/>
  <c r="D10" i="1"/>
  <c r="D11" i="1" s="1"/>
  <c r="D12" i="1" s="1"/>
  <c r="D13" i="1" s="1"/>
  <c r="D14" i="1" s="1"/>
  <c r="D15" i="1" s="1"/>
  <c r="D16" i="1" s="1"/>
  <c r="D17" i="1" s="1"/>
  <c r="D18" i="1" s="1"/>
  <c r="D19" i="1" s="1"/>
  <c r="D9" i="1"/>
  <c r="H9" i="1"/>
  <c r="I44" i="1"/>
  <c r="H44" i="1"/>
  <c r="I33" i="1"/>
  <c r="I32" i="1"/>
  <c r="H32" i="1"/>
  <c r="I20" i="1"/>
  <c r="H20" i="1"/>
  <c r="I10" i="1"/>
  <c r="I8" i="1"/>
  <c r="H8" i="1"/>
  <c r="G44" i="1"/>
  <c r="F44" i="1"/>
  <c r="E44" i="1"/>
  <c r="D44" i="1"/>
  <c r="G32" i="1"/>
  <c r="F32" i="1"/>
  <c r="E32" i="1"/>
  <c r="D32" i="1"/>
  <c r="G20" i="1"/>
  <c r="F20" i="1"/>
  <c r="E20" i="1"/>
  <c r="D20" i="1"/>
  <c r="I34" i="1" l="1"/>
  <c r="E35" i="1"/>
  <c r="H35" i="1"/>
  <c r="D36" i="1"/>
  <c r="H34" i="1"/>
  <c r="E23" i="1"/>
  <c r="I22" i="1"/>
  <c r="H22" i="1"/>
  <c r="I21" i="1"/>
  <c r="D23" i="1"/>
  <c r="G12" i="1"/>
  <c r="G13" i="1" s="1"/>
  <c r="G14" i="1" s="1"/>
  <c r="G15" i="1" s="1"/>
  <c r="G16" i="1" s="1"/>
  <c r="G17" i="1" s="1"/>
  <c r="G18" i="1" s="1"/>
  <c r="G19" i="1" s="1"/>
  <c r="I11" i="1"/>
  <c r="I13" i="1"/>
  <c r="E14" i="1"/>
  <c r="I12" i="1"/>
  <c r="H11" i="1"/>
  <c r="H10" i="1"/>
  <c r="I35" i="1" l="1"/>
  <c r="E36" i="1"/>
  <c r="D37" i="1"/>
  <c r="H36" i="1"/>
  <c r="H23" i="1"/>
  <c r="D24" i="1"/>
  <c r="E24" i="1"/>
  <c r="I23" i="1"/>
  <c r="E15" i="1"/>
  <c r="I14" i="1"/>
  <c r="H12" i="1"/>
  <c r="H37" i="1" l="1"/>
  <c r="D38" i="1"/>
  <c r="I36" i="1"/>
  <c r="E37" i="1"/>
  <c r="I24" i="1"/>
  <c r="E25" i="1"/>
  <c r="H24" i="1"/>
  <c r="D25" i="1"/>
  <c r="I15" i="1"/>
  <c r="E16" i="1"/>
  <c r="H13" i="1"/>
  <c r="I37" i="1" l="1"/>
  <c r="E38" i="1"/>
  <c r="D39" i="1"/>
  <c r="H38" i="1"/>
  <c r="H25" i="1"/>
  <c r="D26" i="1"/>
  <c r="E26" i="1"/>
  <c r="I25" i="1"/>
  <c r="E17" i="1"/>
  <c r="I16" i="1"/>
  <c r="H14" i="1"/>
  <c r="I38" i="1" l="1"/>
  <c r="E39" i="1"/>
  <c r="H39" i="1"/>
  <c r="D40" i="1"/>
  <c r="I26" i="1"/>
  <c r="E27" i="1"/>
  <c r="H26" i="1"/>
  <c r="D27" i="1"/>
  <c r="I17" i="1"/>
  <c r="E18" i="1"/>
  <c r="H15" i="1"/>
  <c r="D41" i="1" l="1"/>
  <c r="H40" i="1"/>
  <c r="E40" i="1"/>
  <c r="I39" i="1"/>
  <c r="E28" i="1"/>
  <c r="I27" i="1"/>
  <c r="H27" i="1"/>
  <c r="D28" i="1"/>
  <c r="E19" i="1"/>
  <c r="I19" i="1" s="1"/>
  <c r="I18" i="1"/>
  <c r="H16" i="1"/>
  <c r="I40" i="1" l="1"/>
  <c r="E41" i="1"/>
  <c r="H41" i="1"/>
  <c r="D42" i="1"/>
  <c r="E29" i="1"/>
  <c r="I28" i="1"/>
  <c r="H28" i="1"/>
  <c r="D29" i="1"/>
  <c r="H17" i="1"/>
  <c r="H42" i="1" l="1"/>
  <c r="D43" i="1"/>
  <c r="H43" i="1" s="1"/>
  <c r="I41" i="1"/>
  <c r="E42" i="1"/>
  <c r="D30" i="1"/>
  <c r="H29" i="1"/>
  <c r="E30" i="1"/>
  <c r="I29" i="1"/>
  <c r="H19" i="1"/>
  <c r="H18" i="1"/>
  <c r="I42" i="1" l="1"/>
  <c r="E43" i="1"/>
  <c r="I43" i="1" s="1"/>
  <c r="I30" i="1"/>
  <c r="E31" i="1"/>
  <c r="I31" i="1" s="1"/>
  <c r="H30" i="1"/>
  <c r="D31" i="1"/>
  <c r="H31" i="1" s="1"/>
</calcChain>
</file>

<file path=xl/sharedStrings.xml><?xml version="1.0" encoding="utf-8"?>
<sst xmlns="http://schemas.openxmlformats.org/spreadsheetml/2006/main" count="27" uniqueCount="25">
  <si>
    <t>Month</t>
  </si>
  <si>
    <t>Minimum number of surveys</t>
  </si>
  <si>
    <t>Maximum number of surveys</t>
  </si>
  <si>
    <t>UK</t>
  </si>
  <si>
    <t>US</t>
  </si>
  <si>
    <t>Total number of surveys</t>
  </si>
  <si>
    <t>Minimum</t>
  </si>
  <si>
    <t>Maximum</t>
  </si>
  <si>
    <t>Average Number of Respondents</t>
  </si>
  <si>
    <t>Average Number of Questions</t>
  </si>
  <si>
    <t>Cumulative New Data Rows (Minimum)</t>
  </si>
  <si>
    <t>Cumulative New Data Rows (Maximum)</t>
  </si>
  <si>
    <t>Number of Days in Month</t>
  </si>
  <si>
    <t>Minimum New Completes / Day</t>
  </si>
  <si>
    <t>Minimum New Completes (=&gt; Response Rows in DB)</t>
  </si>
  <si>
    <t>Maximum New Completes (=&gt; Response Rows in DB)</t>
  </si>
  <si>
    <t>Minimum New Data Rows in DB</t>
  </si>
  <si>
    <t>Maximum New Data Rows in DB</t>
  </si>
  <si>
    <t>Maximum New Completes / Day</t>
  </si>
  <si>
    <t>Minimum New Data Rows / Day</t>
  </si>
  <si>
    <t>Maximum New Data Rows / Day</t>
  </si>
  <si>
    <t>Monthly Data Figures</t>
  </si>
  <si>
    <t>Daily Data Figures</t>
  </si>
  <si>
    <t>TOTALS</t>
  </si>
  <si>
    <t>VIGA Data Growth Estimates (March 2018 - March 2021)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</si>
</sst>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8">
    <xf numFmtId="0" fontId="0" fillId="0" borderId="0" xfId="0"/>
    <xf numFmtId="1" fontId="0" fillId="3" borderId="0" xfId="0" applyNumberFormat="1" applyFill="1"/>
    <xf numFmtId="1" fontId="0" fillId="0" borderId="0" xfId="0" applyNumberFormat="1"/>
    <xf numFmtId="0" fontId="2" fillId="0" borderId="0" xfId="0" applyFont="1"/>
    <xf numFmtId="0" fontId="2" fillId="0" borderId="1" xfId="0" applyNumberFormat="1" applyFont="1" applyBorder="1" applyAlignment="1">
      <alignment horizontal="center" wrapText="1"/>
    </xf>
    <xf numFmtId="0" fontId="2" fillId="0" borderId="2" xfId="0" applyFont="1" applyBorder="1"/>
    <xf numFmtId="0" fontId="2" fillId="0" borderId="3" xfId="0" applyNumberFormat="1" applyFont="1" applyBorder="1" applyAlignment="1">
      <alignment horizontal="center" wrapText="1"/>
    </xf>
    <xf numFmtId="17" fontId="2" fillId="0" borderId="2" xfId="0" applyNumberFormat="1" applyFont="1" applyBorder="1"/>
    <xf numFmtId="1" fontId="0" fillId="4" borderId="0" xfId="0" applyNumberFormat="1" applyFill="1"/>
    <xf numFmtId="1" fontId="1" fillId="2" borderId="0" xfId="1" applyNumberFormat="1"/>
    <xf numFmtId="0" fontId="3" fillId="0" borderId="2" xfId="0" applyFont="1" applyBorder="1"/>
    <xf numFmtId="0" fontId="3" fillId="0" borderId="0" xfId="0" applyFont="1"/>
    <xf numFmtId="0" fontId="3" fillId="0" borderId="4" xfId="0" applyFont="1" applyBorder="1"/>
    <xf numFmtId="0" fontId="2" fillId="0" borderId="5" xfId="0" applyNumberFormat="1" applyFont="1" applyBorder="1" applyAlignment="1">
      <alignment horizontal="center" wrapText="1"/>
    </xf>
    <xf numFmtId="1" fontId="0" fillId="3" borderId="4" xfId="0" applyNumberFormat="1" applyFill="1" applyBorder="1"/>
    <xf numFmtId="1" fontId="0" fillId="0" borderId="4" xfId="0" applyNumberFormat="1" applyBorder="1"/>
    <xf numFmtId="1" fontId="0" fillId="4" borderId="4" xfId="0" applyNumberFormat="1" applyFill="1" applyBorder="1"/>
    <xf numFmtId="0" fontId="0" fillId="0" borderId="4" xfId="0" applyBorder="1"/>
    <xf numFmtId="0" fontId="4" fillId="0" borderId="0" xfId="0" applyFont="1"/>
    <xf numFmtId="1" fontId="2" fillId="0" borderId="0" xfId="0" applyNumberFormat="1" applyFont="1"/>
    <xf numFmtId="17" fontId="2" fillId="0" borderId="3" xfId="0" applyNumberFormat="1" applyFont="1" applyBorder="1"/>
    <xf numFmtId="1" fontId="0" fillId="4" borderId="1" xfId="0" applyNumberFormat="1" applyFill="1" applyBorder="1"/>
    <xf numFmtId="1" fontId="0" fillId="4" borderId="5" xfId="0" applyNumberFormat="1" applyFill="1" applyBorder="1"/>
    <xf numFmtId="1" fontId="0" fillId="0" borderId="5" xfId="0" applyNumberFormat="1" applyBorder="1"/>
    <xf numFmtId="1" fontId="0" fillId="0" borderId="1" xfId="0" applyNumberFormat="1" applyBorder="1"/>
    <xf numFmtId="1" fontId="1" fillId="2" borderId="1" xfId="1" applyNumberFormat="1" applyBorder="1"/>
    <xf numFmtId="0" fontId="0" fillId="0" borderId="5" xfId="0" applyBorder="1"/>
    <xf numFmtId="0" fontId="0" fillId="0" borderId="1" xfId="0" applyBorder="1"/>
  </cellXfs>
  <cellStyles count="2">
    <cellStyle name="Bad" xfId="1" builtinId="27"/>
    <cellStyle name="Normal" xfId="0" builtinId="0"/>
  </cellStyles>
  <dxfs count="0"/>
  <tableStyles count="0" defaultTableStyle="TableStyleMedium2" defaultPivotStyle="PivotStyleLight16"/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881062</xdr:colOff>
      <xdr:row>47</xdr:row>
      <xdr:rowOff>23812</xdr:rowOff>
    </xdr:from>
    <xdr:to>
      <xdr:col>19</xdr:col>
      <xdr:colOff>1041796</xdr:colOff>
      <xdr:row>56</xdr:row>
      <xdr:rowOff>119063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7A5D318-76A4-4C2F-840C-ADD8EC9B7EA6}"/>
            </a:ext>
          </a:extLst>
        </xdr:cNvPr>
        <xdr:cNvSpPr txBox="1"/>
      </xdr:nvSpPr>
      <xdr:spPr>
        <a:xfrm>
          <a:off x="14263687" y="9477375"/>
          <a:ext cx="4667250" cy="170259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1"/>
            <a:t>IMPORTANT:</a:t>
          </a:r>
          <a:r>
            <a:rPr lang="en-GB" sz="1100"/>
            <a:t> Rows </a:t>
          </a:r>
          <a:r>
            <a:rPr lang="en-GB" sz="1100">
              <a:solidFill>
                <a:srgbClr val="C00000"/>
              </a:solidFill>
            </a:rPr>
            <a:t>highlighted in red above</a:t>
          </a:r>
          <a:r>
            <a:rPr lang="en-GB" sz="1100"/>
            <a:t> indicate (roughly) the period in time at which we're going to run out of 32-bit INTEGERs</a:t>
          </a:r>
          <a:r>
            <a:rPr lang="en-GB" sz="1100" baseline="0"/>
            <a:t> to use as primary key/ID values in the dbo.Data table of the survey portal database.</a:t>
          </a:r>
          <a:br>
            <a:rPr lang="en-GB" sz="1100" baseline="0"/>
          </a:br>
          <a:br>
            <a:rPr lang="en-GB" sz="1100" baseline="0"/>
          </a:br>
          <a:r>
            <a:rPr lang="en-GB" sz="1100" baseline="0"/>
            <a:t>Note that this ONLY takes into account VIGA surveys: not Morar HPI surveys or trackers, or those of the other brands such as Charterhouse and Circle. I will be talking to others in the brands about how they anticipate their businesses growing over the next 3 years, so that we can come up with a unified growth estimate for data.</a:t>
          </a:r>
          <a:endParaRPr lang="en-GB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02EA5-0FDC-4207-80B4-7D45FC295E70}">
  <dimension ref="C2:V45"/>
  <sheetViews>
    <sheetView tabSelected="1" zoomScale="80" zoomScaleNormal="80" workbookViewId="0">
      <selection activeCell="D3" sqref="D3"/>
    </sheetView>
  </sheetViews>
  <sheetFormatPr defaultRowHeight="14.25" x14ac:dyDescent="0.45"/>
  <cols>
    <col min="3" max="3" width="9.06640625" style="5"/>
    <col min="4" max="4" width="15.265625" customWidth="1"/>
    <col min="5" max="5" width="15.19921875" customWidth="1"/>
    <col min="6" max="6" width="16" style="17" customWidth="1"/>
    <col min="7" max="7" width="16.53125" customWidth="1"/>
    <col min="8" max="8" width="10.265625" style="17" customWidth="1"/>
    <col min="9" max="9" width="10.1328125" customWidth="1"/>
    <col min="10" max="10" width="12.265625" customWidth="1"/>
    <col min="11" max="11" width="10.53125" customWidth="1"/>
    <col min="12" max="12" width="19.33203125" style="17" customWidth="1"/>
    <col min="13" max="13" width="20.265625" customWidth="1"/>
    <col min="14" max="14" width="14.3984375" customWidth="1"/>
    <col min="15" max="15" width="14.6640625" customWidth="1"/>
    <col min="16" max="16" width="12.796875" customWidth="1"/>
    <col min="17" max="17" width="11.86328125" customWidth="1"/>
    <col min="18" max="18" width="9.06640625" style="17"/>
    <col min="19" max="19" width="14.6640625" customWidth="1"/>
    <col min="20" max="21" width="14.796875" customWidth="1"/>
    <col min="22" max="22" width="14.6640625" customWidth="1"/>
  </cols>
  <sheetData>
    <row r="2" spans="3:22" ht="46.15" x14ac:dyDescent="1.35">
      <c r="D2" s="18" t="s">
        <v>24</v>
      </c>
    </row>
    <row r="6" spans="3:22" s="11" customFormat="1" ht="21" x14ac:dyDescent="0.65">
      <c r="C6" s="10"/>
      <c r="D6" s="11" t="s">
        <v>3</v>
      </c>
      <c r="F6" s="12" t="s">
        <v>4</v>
      </c>
      <c r="H6" s="12" t="s">
        <v>5</v>
      </c>
      <c r="L6" s="12" t="s">
        <v>21</v>
      </c>
      <c r="R6" s="12" t="s">
        <v>22</v>
      </c>
    </row>
    <row r="7" spans="3:22" s="4" customFormat="1" ht="57.4" thickBot="1" x14ac:dyDescent="0.5">
      <c r="C7" s="6" t="s">
        <v>0</v>
      </c>
      <c r="D7" s="4" t="s">
        <v>1</v>
      </c>
      <c r="E7" s="4" t="s">
        <v>2</v>
      </c>
      <c r="F7" s="13" t="s">
        <v>1</v>
      </c>
      <c r="G7" s="4" t="s">
        <v>2</v>
      </c>
      <c r="H7" s="13" t="s">
        <v>6</v>
      </c>
      <c r="I7" s="4" t="s">
        <v>7</v>
      </c>
      <c r="J7" s="4" t="s">
        <v>8</v>
      </c>
      <c r="K7" s="4" t="s">
        <v>9</v>
      </c>
      <c r="L7" s="13" t="s">
        <v>14</v>
      </c>
      <c r="M7" s="4" t="s">
        <v>15</v>
      </c>
      <c r="N7" s="4" t="s">
        <v>16</v>
      </c>
      <c r="O7" s="4" t="s">
        <v>17</v>
      </c>
      <c r="P7" s="4" t="s">
        <v>10</v>
      </c>
      <c r="Q7" s="4" t="s">
        <v>11</v>
      </c>
      <c r="R7" s="13" t="s">
        <v>12</v>
      </c>
      <c r="S7" s="4" t="s">
        <v>13</v>
      </c>
      <c r="T7" s="4" t="s">
        <v>18</v>
      </c>
      <c r="U7" s="4" t="s">
        <v>19</v>
      </c>
      <c r="V7" s="4" t="s">
        <v>20</v>
      </c>
    </row>
    <row r="8" spans="3:22" ht="14.65" thickTop="1" x14ac:dyDescent="0.45">
      <c r="C8" s="7">
        <v>43160</v>
      </c>
      <c r="D8" s="1">
        <v>60</v>
      </c>
      <c r="E8" s="1">
        <v>100</v>
      </c>
      <c r="F8" s="14">
        <v>5</v>
      </c>
      <c r="G8" s="1">
        <v>10</v>
      </c>
      <c r="H8" s="15">
        <f>D8+F8</f>
        <v>65</v>
      </c>
      <c r="I8" s="2">
        <f>E8+G8</f>
        <v>110</v>
      </c>
      <c r="J8" s="1">
        <v>1000</v>
      </c>
      <c r="K8" s="1">
        <v>30</v>
      </c>
      <c r="L8" s="15">
        <f>J8*H8</f>
        <v>65000</v>
      </c>
      <c r="M8" s="2">
        <f>J8 * I8</f>
        <v>110000</v>
      </c>
      <c r="N8" s="2">
        <f>K8*L8</f>
        <v>1950000</v>
      </c>
      <c r="O8" s="2">
        <f>K8*M8</f>
        <v>3300000</v>
      </c>
      <c r="P8" s="2">
        <f>SUM(N$8:N8)</f>
        <v>1950000</v>
      </c>
      <c r="Q8" s="2">
        <f>SUM(O$8:O8)</f>
        <v>3300000</v>
      </c>
      <c r="R8" s="17">
        <f>DAY(EOMONTH(C8, 0))</f>
        <v>31</v>
      </c>
      <c r="S8" s="2">
        <f>L8/R8</f>
        <v>2096.7741935483873</v>
      </c>
      <c r="T8" s="2">
        <f>M8/R8</f>
        <v>3548.3870967741937</v>
      </c>
      <c r="U8" s="2">
        <f>N8/R8</f>
        <v>62903.225806451614</v>
      </c>
      <c r="V8" s="2">
        <f>Q8/R8</f>
        <v>106451.6129032258</v>
      </c>
    </row>
    <row r="9" spans="3:22" x14ac:dyDescent="0.45">
      <c r="C9" s="7">
        <v>43191</v>
      </c>
      <c r="D9" s="2">
        <f>D8+(D$20-D$8)/12</f>
        <v>70</v>
      </c>
      <c r="E9" s="2">
        <f t="shared" ref="E9:E19" si="0">E8+(E$20-E$8)/12</f>
        <v>116.66666666666667</v>
      </c>
      <c r="F9" s="15">
        <f t="shared" ref="F9:F19" si="1">F8+(F$20-F$8)/12</f>
        <v>5.833333333333333</v>
      </c>
      <c r="G9" s="2">
        <f t="shared" ref="G9:G19" si="2">G8+(G$20-G$8)/12</f>
        <v>11.666666666666666</v>
      </c>
      <c r="H9" s="15">
        <f t="shared" ref="H9:H44" si="3">D9+F9</f>
        <v>75.833333333333329</v>
      </c>
      <c r="I9" s="2">
        <f t="shared" ref="I9:I44" si="4">E9+G9</f>
        <v>128.33333333333334</v>
      </c>
      <c r="J9" s="2">
        <f>J8</f>
        <v>1000</v>
      </c>
      <c r="K9" s="2">
        <f>K8</f>
        <v>30</v>
      </c>
      <c r="L9" s="15">
        <f t="shared" ref="L9:L44" si="5">J9*H9</f>
        <v>75833.333333333328</v>
      </c>
      <c r="M9" s="2">
        <f t="shared" ref="M9:M44" si="6">J9 * I9</f>
        <v>128333.33333333334</v>
      </c>
      <c r="N9" s="2">
        <f t="shared" ref="N9:N44" si="7">K9*L9</f>
        <v>2275000</v>
      </c>
      <c r="O9" s="2">
        <f t="shared" ref="O9:O44" si="8">K9*M9</f>
        <v>3850000.0000000005</v>
      </c>
      <c r="P9" s="2">
        <f>SUM(N$8:N9)</f>
        <v>4225000</v>
      </c>
      <c r="Q9" s="2">
        <f>SUM(O$8:O9)</f>
        <v>7150000</v>
      </c>
      <c r="R9" s="17">
        <f t="shared" ref="R9:R44" si="9">DAY(EOMONTH(C9, 0))</f>
        <v>30</v>
      </c>
      <c r="S9" s="2">
        <f t="shared" ref="S9:S44" si="10">L9/R9</f>
        <v>2527.7777777777778</v>
      </c>
      <c r="T9" s="2">
        <f t="shared" ref="T9:T44" si="11">M9/R9</f>
        <v>4277.7777777777783</v>
      </c>
      <c r="U9" s="2">
        <f t="shared" ref="U9:U44" si="12">N9/R9</f>
        <v>75833.333333333328</v>
      </c>
      <c r="V9" s="2">
        <f t="shared" ref="V9:V44" si="13">Q9/R9</f>
        <v>238333.33333333334</v>
      </c>
    </row>
    <row r="10" spans="3:22" x14ac:dyDescent="0.45">
      <c r="C10" s="7">
        <v>43221</v>
      </c>
      <c r="D10" s="2">
        <f t="shared" ref="D10:D19" si="14">D9+(D$20-D$8)/12</f>
        <v>80</v>
      </c>
      <c r="E10" s="2">
        <f t="shared" si="0"/>
        <v>133.33333333333334</v>
      </c>
      <c r="F10" s="15">
        <f t="shared" si="1"/>
        <v>6.6666666666666661</v>
      </c>
      <c r="G10" s="2">
        <f t="shared" si="2"/>
        <v>13.333333333333332</v>
      </c>
      <c r="H10" s="15">
        <f t="shared" si="3"/>
        <v>86.666666666666671</v>
      </c>
      <c r="I10" s="2">
        <f t="shared" si="4"/>
        <v>146.66666666666669</v>
      </c>
      <c r="J10" s="2">
        <f t="shared" ref="J10:J44" si="15">J9</f>
        <v>1000</v>
      </c>
      <c r="K10" s="2">
        <f t="shared" ref="K10:K44" si="16">K9</f>
        <v>30</v>
      </c>
      <c r="L10" s="15">
        <f t="shared" si="5"/>
        <v>86666.666666666672</v>
      </c>
      <c r="M10" s="2">
        <f t="shared" si="6"/>
        <v>146666.66666666669</v>
      </c>
      <c r="N10" s="2">
        <f t="shared" si="7"/>
        <v>2600000</v>
      </c>
      <c r="O10" s="2">
        <f t="shared" si="8"/>
        <v>4400000.0000000009</v>
      </c>
      <c r="P10" s="2">
        <f>SUM(N$8:N10)</f>
        <v>6825000</v>
      </c>
      <c r="Q10" s="2">
        <f>SUM(O$8:O10)</f>
        <v>11550000</v>
      </c>
      <c r="R10" s="17">
        <f t="shared" si="9"/>
        <v>31</v>
      </c>
      <c r="S10" s="2">
        <f t="shared" si="10"/>
        <v>2795.6989247311831</v>
      </c>
      <c r="T10" s="2">
        <f t="shared" si="11"/>
        <v>4731.1827956989255</v>
      </c>
      <c r="U10" s="2">
        <f t="shared" si="12"/>
        <v>83870.967741935485</v>
      </c>
      <c r="V10" s="2">
        <f t="shared" si="13"/>
        <v>372580.6451612903</v>
      </c>
    </row>
    <row r="11" spans="3:22" x14ac:dyDescent="0.45">
      <c r="C11" s="7">
        <v>43252</v>
      </c>
      <c r="D11" s="2">
        <f t="shared" si="14"/>
        <v>90</v>
      </c>
      <c r="E11" s="2">
        <f t="shared" si="0"/>
        <v>150</v>
      </c>
      <c r="F11" s="15">
        <f t="shared" si="1"/>
        <v>7.4999999999999991</v>
      </c>
      <c r="G11" s="2">
        <f t="shared" si="2"/>
        <v>14.999999999999998</v>
      </c>
      <c r="H11" s="15">
        <f t="shared" si="3"/>
        <v>97.5</v>
      </c>
      <c r="I11" s="2">
        <f t="shared" si="4"/>
        <v>165</v>
      </c>
      <c r="J11" s="2">
        <f t="shared" si="15"/>
        <v>1000</v>
      </c>
      <c r="K11" s="2">
        <f t="shared" si="16"/>
        <v>30</v>
      </c>
      <c r="L11" s="15">
        <f t="shared" si="5"/>
        <v>97500</v>
      </c>
      <c r="M11" s="2">
        <f t="shared" si="6"/>
        <v>165000</v>
      </c>
      <c r="N11" s="2">
        <f t="shared" si="7"/>
        <v>2925000</v>
      </c>
      <c r="O11" s="2">
        <f t="shared" si="8"/>
        <v>4950000</v>
      </c>
      <c r="P11" s="2">
        <f>SUM(N$8:N11)</f>
        <v>9750000</v>
      </c>
      <c r="Q11" s="2">
        <f>SUM(O$8:O11)</f>
        <v>16500000</v>
      </c>
      <c r="R11" s="17">
        <f t="shared" si="9"/>
        <v>30</v>
      </c>
      <c r="S11" s="2">
        <f t="shared" si="10"/>
        <v>3250</v>
      </c>
      <c r="T11" s="2">
        <f t="shared" si="11"/>
        <v>5500</v>
      </c>
      <c r="U11" s="2">
        <f t="shared" si="12"/>
        <v>97500</v>
      </c>
      <c r="V11" s="2">
        <f t="shared" si="13"/>
        <v>550000</v>
      </c>
    </row>
    <row r="12" spans="3:22" x14ac:dyDescent="0.45">
      <c r="C12" s="7">
        <v>43282</v>
      </c>
      <c r="D12" s="2">
        <f t="shared" si="14"/>
        <v>100</v>
      </c>
      <c r="E12" s="2">
        <f t="shared" si="0"/>
        <v>166.66666666666666</v>
      </c>
      <c r="F12" s="15">
        <f t="shared" si="1"/>
        <v>8.3333333333333321</v>
      </c>
      <c r="G12" s="2">
        <f t="shared" si="2"/>
        <v>16.666666666666664</v>
      </c>
      <c r="H12" s="15">
        <f t="shared" si="3"/>
        <v>108.33333333333333</v>
      </c>
      <c r="I12" s="2">
        <f t="shared" si="4"/>
        <v>183.33333333333331</v>
      </c>
      <c r="J12" s="2">
        <f t="shared" si="15"/>
        <v>1000</v>
      </c>
      <c r="K12" s="2">
        <f t="shared" si="16"/>
        <v>30</v>
      </c>
      <c r="L12" s="15">
        <f t="shared" si="5"/>
        <v>108333.33333333333</v>
      </c>
      <c r="M12" s="2">
        <f t="shared" si="6"/>
        <v>183333.33333333331</v>
      </c>
      <c r="N12" s="2">
        <f t="shared" si="7"/>
        <v>3250000</v>
      </c>
      <c r="O12" s="2">
        <f t="shared" si="8"/>
        <v>5499999.9999999991</v>
      </c>
      <c r="P12" s="2">
        <f>SUM(N$8:N12)</f>
        <v>13000000</v>
      </c>
      <c r="Q12" s="2">
        <f>SUM(O$8:O12)</f>
        <v>22000000</v>
      </c>
      <c r="R12" s="17">
        <f t="shared" si="9"/>
        <v>31</v>
      </c>
      <c r="S12" s="2">
        <f t="shared" si="10"/>
        <v>3494.6236559139784</v>
      </c>
      <c r="T12" s="2">
        <f t="shared" si="11"/>
        <v>5913.978494623655</v>
      </c>
      <c r="U12" s="2">
        <f t="shared" si="12"/>
        <v>104838.70967741935</v>
      </c>
      <c r="V12" s="2">
        <f t="shared" si="13"/>
        <v>709677.41935483867</v>
      </c>
    </row>
    <row r="13" spans="3:22" x14ac:dyDescent="0.45">
      <c r="C13" s="7">
        <v>43313</v>
      </c>
      <c r="D13" s="2">
        <f t="shared" si="14"/>
        <v>110</v>
      </c>
      <c r="E13" s="2">
        <f t="shared" si="0"/>
        <v>183.33333333333331</v>
      </c>
      <c r="F13" s="15">
        <f t="shared" si="1"/>
        <v>9.1666666666666661</v>
      </c>
      <c r="G13" s="2">
        <f t="shared" si="2"/>
        <v>18.333333333333332</v>
      </c>
      <c r="H13" s="15">
        <f t="shared" si="3"/>
        <v>119.16666666666667</v>
      </c>
      <c r="I13" s="2">
        <f t="shared" si="4"/>
        <v>201.66666666666666</v>
      </c>
      <c r="J13" s="2">
        <f t="shared" si="15"/>
        <v>1000</v>
      </c>
      <c r="K13" s="2">
        <f t="shared" si="16"/>
        <v>30</v>
      </c>
      <c r="L13" s="15">
        <f t="shared" si="5"/>
        <v>119166.66666666667</v>
      </c>
      <c r="M13" s="2">
        <f t="shared" si="6"/>
        <v>201666.66666666666</v>
      </c>
      <c r="N13" s="2">
        <f t="shared" si="7"/>
        <v>3575000</v>
      </c>
      <c r="O13" s="2">
        <f t="shared" si="8"/>
        <v>6050000</v>
      </c>
      <c r="P13" s="2">
        <f>SUM(N$8:N13)</f>
        <v>16575000</v>
      </c>
      <c r="Q13" s="2">
        <f>SUM(O$8:O13)</f>
        <v>28050000</v>
      </c>
      <c r="R13" s="17">
        <f t="shared" si="9"/>
        <v>31</v>
      </c>
      <c r="S13" s="2">
        <f t="shared" si="10"/>
        <v>3844.0860215053767</v>
      </c>
      <c r="T13" s="2">
        <f t="shared" si="11"/>
        <v>6505.3763440860212</v>
      </c>
      <c r="U13" s="2">
        <f t="shared" si="12"/>
        <v>115322.58064516129</v>
      </c>
      <c r="V13" s="2">
        <f t="shared" si="13"/>
        <v>904838.70967741939</v>
      </c>
    </row>
    <row r="14" spans="3:22" x14ac:dyDescent="0.45">
      <c r="C14" s="7">
        <v>43344</v>
      </c>
      <c r="D14" s="2">
        <f t="shared" si="14"/>
        <v>120</v>
      </c>
      <c r="E14" s="2">
        <f t="shared" si="0"/>
        <v>199.99999999999997</v>
      </c>
      <c r="F14" s="15">
        <f t="shared" si="1"/>
        <v>10</v>
      </c>
      <c r="G14" s="2">
        <f t="shared" si="2"/>
        <v>20</v>
      </c>
      <c r="H14" s="15">
        <f t="shared" si="3"/>
        <v>130</v>
      </c>
      <c r="I14" s="2">
        <f t="shared" si="4"/>
        <v>219.99999999999997</v>
      </c>
      <c r="J14" s="2">
        <f t="shared" si="15"/>
        <v>1000</v>
      </c>
      <c r="K14" s="2">
        <f t="shared" si="16"/>
        <v>30</v>
      </c>
      <c r="L14" s="15">
        <f t="shared" si="5"/>
        <v>130000</v>
      </c>
      <c r="M14" s="2">
        <f t="shared" si="6"/>
        <v>219999.99999999997</v>
      </c>
      <c r="N14" s="2">
        <f t="shared" si="7"/>
        <v>3900000</v>
      </c>
      <c r="O14" s="2">
        <f t="shared" si="8"/>
        <v>6599999.9999999991</v>
      </c>
      <c r="P14" s="2">
        <f>SUM(N$8:N14)</f>
        <v>20475000</v>
      </c>
      <c r="Q14" s="2">
        <f>SUM(O$8:O14)</f>
        <v>34650000</v>
      </c>
      <c r="R14" s="17">
        <f t="shared" si="9"/>
        <v>30</v>
      </c>
      <c r="S14" s="2">
        <f t="shared" si="10"/>
        <v>4333.333333333333</v>
      </c>
      <c r="T14" s="2">
        <f t="shared" si="11"/>
        <v>7333.3333333333321</v>
      </c>
      <c r="U14" s="2">
        <f t="shared" si="12"/>
        <v>130000</v>
      </c>
      <c r="V14" s="2">
        <f t="shared" si="13"/>
        <v>1155000</v>
      </c>
    </row>
    <row r="15" spans="3:22" x14ac:dyDescent="0.45">
      <c r="C15" s="7">
        <v>43374</v>
      </c>
      <c r="D15" s="2">
        <f t="shared" si="14"/>
        <v>130</v>
      </c>
      <c r="E15" s="2">
        <f t="shared" si="0"/>
        <v>216.66666666666663</v>
      </c>
      <c r="F15" s="15">
        <f t="shared" si="1"/>
        <v>10.833333333333334</v>
      </c>
      <c r="G15" s="2">
        <f t="shared" si="2"/>
        <v>21.666666666666668</v>
      </c>
      <c r="H15" s="15">
        <f t="shared" si="3"/>
        <v>140.83333333333334</v>
      </c>
      <c r="I15" s="2">
        <f t="shared" si="4"/>
        <v>238.33333333333329</v>
      </c>
      <c r="J15" s="2">
        <f t="shared" si="15"/>
        <v>1000</v>
      </c>
      <c r="K15" s="2">
        <f t="shared" si="16"/>
        <v>30</v>
      </c>
      <c r="L15" s="15">
        <f t="shared" si="5"/>
        <v>140833.33333333334</v>
      </c>
      <c r="M15" s="2">
        <f t="shared" si="6"/>
        <v>238333.33333333328</v>
      </c>
      <c r="N15" s="2">
        <f t="shared" si="7"/>
        <v>4225000</v>
      </c>
      <c r="O15" s="2">
        <f t="shared" si="8"/>
        <v>7149999.9999999981</v>
      </c>
      <c r="P15" s="2">
        <f>SUM(N$8:N15)</f>
        <v>24700000</v>
      </c>
      <c r="Q15" s="2">
        <f>SUM(O$8:O15)</f>
        <v>41800000</v>
      </c>
      <c r="R15" s="17">
        <f t="shared" si="9"/>
        <v>31</v>
      </c>
      <c r="S15" s="2">
        <f t="shared" si="10"/>
        <v>4543.010752688172</v>
      </c>
      <c r="T15" s="2">
        <f t="shared" si="11"/>
        <v>7688.1720430107507</v>
      </c>
      <c r="U15" s="2">
        <f t="shared" si="12"/>
        <v>136290.32258064515</v>
      </c>
      <c r="V15" s="2">
        <f t="shared" si="13"/>
        <v>1348387.0967741935</v>
      </c>
    </row>
    <row r="16" spans="3:22" x14ac:dyDescent="0.45">
      <c r="C16" s="7">
        <v>43405</v>
      </c>
      <c r="D16" s="2">
        <f t="shared" si="14"/>
        <v>140</v>
      </c>
      <c r="E16" s="2">
        <f t="shared" si="0"/>
        <v>233.33333333333329</v>
      </c>
      <c r="F16" s="15">
        <f t="shared" si="1"/>
        <v>11.666666666666668</v>
      </c>
      <c r="G16" s="2">
        <f t="shared" si="2"/>
        <v>23.333333333333336</v>
      </c>
      <c r="H16" s="15">
        <f t="shared" si="3"/>
        <v>151.66666666666666</v>
      </c>
      <c r="I16" s="2">
        <f t="shared" si="4"/>
        <v>256.66666666666663</v>
      </c>
      <c r="J16" s="2">
        <f t="shared" si="15"/>
        <v>1000</v>
      </c>
      <c r="K16" s="2">
        <f t="shared" si="16"/>
        <v>30</v>
      </c>
      <c r="L16" s="15">
        <f t="shared" si="5"/>
        <v>151666.66666666666</v>
      </c>
      <c r="M16" s="2">
        <f t="shared" si="6"/>
        <v>256666.66666666663</v>
      </c>
      <c r="N16" s="2">
        <f t="shared" si="7"/>
        <v>4550000</v>
      </c>
      <c r="O16" s="2">
        <f t="shared" si="8"/>
        <v>7699999.9999999991</v>
      </c>
      <c r="P16" s="2">
        <f>SUM(N$8:N16)</f>
        <v>29250000</v>
      </c>
      <c r="Q16" s="2">
        <f>SUM(O$8:O16)</f>
        <v>49500000</v>
      </c>
      <c r="R16" s="17">
        <f t="shared" si="9"/>
        <v>30</v>
      </c>
      <c r="S16" s="2">
        <f t="shared" si="10"/>
        <v>5055.5555555555557</v>
      </c>
      <c r="T16" s="2">
        <f t="shared" si="11"/>
        <v>8555.5555555555547</v>
      </c>
      <c r="U16" s="2">
        <f t="shared" si="12"/>
        <v>151666.66666666666</v>
      </c>
      <c r="V16" s="2">
        <f t="shared" si="13"/>
        <v>1650000</v>
      </c>
    </row>
    <row r="17" spans="3:22" x14ac:dyDescent="0.45">
      <c r="C17" s="7">
        <v>43435</v>
      </c>
      <c r="D17" s="2">
        <f t="shared" si="14"/>
        <v>150</v>
      </c>
      <c r="E17" s="2">
        <f t="shared" si="0"/>
        <v>249.99999999999994</v>
      </c>
      <c r="F17" s="15">
        <f t="shared" si="1"/>
        <v>12.500000000000002</v>
      </c>
      <c r="G17" s="2">
        <f t="shared" si="2"/>
        <v>25.000000000000004</v>
      </c>
      <c r="H17" s="15">
        <f t="shared" si="3"/>
        <v>162.5</v>
      </c>
      <c r="I17" s="2">
        <f t="shared" si="4"/>
        <v>274.99999999999994</v>
      </c>
      <c r="J17" s="2">
        <f t="shared" si="15"/>
        <v>1000</v>
      </c>
      <c r="K17" s="2">
        <f t="shared" si="16"/>
        <v>30</v>
      </c>
      <c r="L17" s="15">
        <f t="shared" si="5"/>
        <v>162500</v>
      </c>
      <c r="M17" s="2">
        <f t="shared" si="6"/>
        <v>274999.99999999994</v>
      </c>
      <c r="N17" s="2">
        <f t="shared" si="7"/>
        <v>4875000</v>
      </c>
      <c r="O17" s="2">
        <f t="shared" si="8"/>
        <v>8249999.9999999981</v>
      </c>
      <c r="P17" s="2">
        <f>SUM(N$8:N17)</f>
        <v>34125000</v>
      </c>
      <c r="Q17" s="2">
        <f>SUM(O$8:O17)</f>
        <v>57750000</v>
      </c>
      <c r="R17" s="17">
        <f t="shared" si="9"/>
        <v>31</v>
      </c>
      <c r="S17" s="2">
        <f t="shared" si="10"/>
        <v>5241.9354838709678</v>
      </c>
      <c r="T17" s="2">
        <f t="shared" si="11"/>
        <v>8870.9677419354812</v>
      </c>
      <c r="U17" s="2">
        <f t="shared" si="12"/>
        <v>157258.06451612903</v>
      </c>
      <c r="V17" s="2">
        <f t="shared" si="13"/>
        <v>1862903.2258064516</v>
      </c>
    </row>
    <row r="18" spans="3:22" x14ac:dyDescent="0.45">
      <c r="C18" s="7">
        <v>43466</v>
      </c>
      <c r="D18" s="2">
        <f t="shared" si="14"/>
        <v>160</v>
      </c>
      <c r="E18" s="2">
        <f t="shared" si="0"/>
        <v>266.66666666666663</v>
      </c>
      <c r="F18" s="15">
        <f t="shared" si="1"/>
        <v>13.333333333333336</v>
      </c>
      <c r="G18" s="2">
        <f t="shared" si="2"/>
        <v>26.666666666666671</v>
      </c>
      <c r="H18" s="15">
        <f t="shared" si="3"/>
        <v>173.33333333333334</v>
      </c>
      <c r="I18" s="2">
        <f t="shared" si="4"/>
        <v>293.33333333333331</v>
      </c>
      <c r="J18" s="2">
        <f t="shared" si="15"/>
        <v>1000</v>
      </c>
      <c r="K18" s="2">
        <f t="shared" si="16"/>
        <v>30</v>
      </c>
      <c r="L18" s="15">
        <f t="shared" si="5"/>
        <v>173333.33333333334</v>
      </c>
      <c r="M18" s="2">
        <f t="shared" si="6"/>
        <v>293333.33333333331</v>
      </c>
      <c r="N18" s="2">
        <f t="shared" si="7"/>
        <v>5200000</v>
      </c>
      <c r="O18" s="2">
        <f t="shared" si="8"/>
        <v>8800000</v>
      </c>
      <c r="P18" s="2">
        <f>SUM(N$8:N18)</f>
        <v>39325000</v>
      </c>
      <c r="Q18" s="2">
        <f>SUM(O$8:O18)</f>
        <v>66550000</v>
      </c>
      <c r="R18" s="17">
        <f t="shared" si="9"/>
        <v>31</v>
      </c>
      <c r="S18" s="2">
        <f t="shared" si="10"/>
        <v>5591.3978494623661</v>
      </c>
      <c r="T18" s="2">
        <f t="shared" si="11"/>
        <v>9462.3655913978491</v>
      </c>
      <c r="U18" s="2">
        <f t="shared" si="12"/>
        <v>167741.93548387097</v>
      </c>
      <c r="V18" s="2">
        <f t="shared" si="13"/>
        <v>2146774.1935483869</v>
      </c>
    </row>
    <row r="19" spans="3:22" x14ac:dyDescent="0.45">
      <c r="C19" s="7">
        <v>43497</v>
      </c>
      <c r="D19" s="2">
        <f t="shared" si="14"/>
        <v>170</v>
      </c>
      <c r="E19" s="2">
        <f t="shared" si="0"/>
        <v>283.33333333333331</v>
      </c>
      <c r="F19" s="15">
        <f t="shared" si="1"/>
        <v>14.16666666666667</v>
      </c>
      <c r="G19" s="2">
        <f t="shared" si="2"/>
        <v>28.333333333333339</v>
      </c>
      <c r="H19" s="15">
        <f t="shared" si="3"/>
        <v>184.16666666666666</v>
      </c>
      <c r="I19" s="2">
        <f t="shared" si="4"/>
        <v>311.66666666666663</v>
      </c>
      <c r="J19" s="2">
        <f t="shared" si="15"/>
        <v>1000</v>
      </c>
      <c r="K19" s="2">
        <f t="shared" si="16"/>
        <v>30</v>
      </c>
      <c r="L19" s="15">
        <f t="shared" si="5"/>
        <v>184166.66666666666</v>
      </c>
      <c r="M19" s="2">
        <f t="shared" si="6"/>
        <v>311666.66666666663</v>
      </c>
      <c r="N19" s="2">
        <f t="shared" si="7"/>
        <v>5525000</v>
      </c>
      <c r="O19" s="2">
        <f t="shared" si="8"/>
        <v>9349999.9999999981</v>
      </c>
      <c r="P19" s="2">
        <f>SUM(N$8:N19)</f>
        <v>44850000</v>
      </c>
      <c r="Q19" s="2">
        <f>SUM(O$8:O19)</f>
        <v>75900000</v>
      </c>
      <c r="R19" s="17">
        <f t="shared" si="9"/>
        <v>28</v>
      </c>
      <c r="S19" s="2">
        <f t="shared" si="10"/>
        <v>6577.3809523809523</v>
      </c>
      <c r="T19" s="2">
        <f t="shared" si="11"/>
        <v>11130.95238095238</v>
      </c>
      <c r="U19" s="2">
        <f t="shared" si="12"/>
        <v>197321.42857142858</v>
      </c>
      <c r="V19" s="2">
        <f t="shared" si="13"/>
        <v>2710714.2857142859</v>
      </c>
    </row>
    <row r="20" spans="3:22" x14ac:dyDescent="0.45">
      <c r="C20" s="7">
        <v>43525</v>
      </c>
      <c r="D20" s="8">
        <f>D8*3</f>
        <v>180</v>
      </c>
      <c r="E20" s="8">
        <f t="shared" ref="E20:G20" si="17">E8*3</f>
        <v>300</v>
      </c>
      <c r="F20" s="16">
        <f t="shared" si="17"/>
        <v>15</v>
      </c>
      <c r="G20" s="8">
        <f t="shared" si="17"/>
        <v>30</v>
      </c>
      <c r="H20" s="15">
        <f t="shared" si="3"/>
        <v>195</v>
      </c>
      <c r="I20" s="2">
        <f t="shared" si="4"/>
        <v>330</v>
      </c>
      <c r="J20" s="2">
        <f t="shared" si="15"/>
        <v>1000</v>
      </c>
      <c r="K20" s="2">
        <f t="shared" si="16"/>
        <v>30</v>
      </c>
      <c r="L20" s="15">
        <f t="shared" si="5"/>
        <v>195000</v>
      </c>
      <c r="M20" s="2">
        <f t="shared" si="6"/>
        <v>330000</v>
      </c>
      <c r="N20" s="2">
        <f t="shared" si="7"/>
        <v>5850000</v>
      </c>
      <c r="O20" s="2">
        <f t="shared" si="8"/>
        <v>9900000</v>
      </c>
      <c r="P20" s="2">
        <f>SUM(N$8:N20)</f>
        <v>50700000</v>
      </c>
      <c r="Q20" s="2">
        <f>SUM(O$8:O20)</f>
        <v>85800000</v>
      </c>
      <c r="R20" s="17">
        <f t="shared" si="9"/>
        <v>31</v>
      </c>
      <c r="S20" s="2">
        <f t="shared" si="10"/>
        <v>6290.322580645161</v>
      </c>
      <c r="T20" s="2">
        <f t="shared" si="11"/>
        <v>10645.161290322581</v>
      </c>
      <c r="U20" s="2">
        <f t="shared" si="12"/>
        <v>188709.67741935485</v>
      </c>
      <c r="V20" s="2">
        <f t="shared" si="13"/>
        <v>2767741.935483871</v>
      </c>
    </row>
    <row r="21" spans="3:22" x14ac:dyDescent="0.45">
      <c r="C21" s="7">
        <v>43556</v>
      </c>
      <c r="D21" s="2">
        <f>D20+(D$32-D$20)/12</f>
        <v>210</v>
      </c>
      <c r="E21" s="2">
        <f t="shared" ref="E21:E31" si="18">E20+(E$32-E$20)/12</f>
        <v>350</v>
      </c>
      <c r="F21" s="15">
        <f t="shared" ref="F21:F31" si="19">F20+(F$32-F$20)/12</f>
        <v>17.5</v>
      </c>
      <c r="G21" s="2">
        <f t="shared" ref="G21:G31" si="20">G20+(G$32-G$20)/12</f>
        <v>35</v>
      </c>
      <c r="H21" s="15">
        <f t="shared" si="3"/>
        <v>227.5</v>
      </c>
      <c r="I21" s="2">
        <f t="shared" si="4"/>
        <v>385</v>
      </c>
      <c r="J21" s="2">
        <f t="shared" si="15"/>
        <v>1000</v>
      </c>
      <c r="K21" s="2">
        <f t="shared" si="16"/>
        <v>30</v>
      </c>
      <c r="L21" s="15">
        <f t="shared" si="5"/>
        <v>227500</v>
      </c>
      <c r="M21" s="2">
        <f t="shared" si="6"/>
        <v>385000</v>
      </c>
      <c r="N21" s="2">
        <f t="shared" si="7"/>
        <v>6825000</v>
      </c>
      <c r="O21" s="2">
        <f t="shared" si="8"/>
        <v>11550000</v>
      </c>
      <c r="P21" s="2">
        <f>SUM(N$8:N21)</f>
        <v>57525000</v>
      </c>
      <c r="Q21" s="2">
        <f>SUM(O$8:O21)</f>
        <v>97350000</v>
      </c>
      <c r="R21" s="17">
        <f t="shared" si="9"/>
        <v>30</v>
      </c>
      <c r="S21" s="2">
        <f t="shared" si="10"/>
        <v>7583.333333333333</v>
      </c>
      <c r="T21" s="2">
        <f t="shared" si="11"/>
        <v>12833.333333333334</v>
      </c>
      <c r="U21" s="2">
        <f t="shared" si="12"/>
        <v>227500</v>
      </c>
      <c r="V21" s="2">
        <f t="shared" si="13"/>
        <v>3245000</v>
      </c>
    </row>
    <row r="22" spans="3:22" x14ac:dyDescent="0.45">
      <c r="C22" s="7">
        <v>43586</v>
      </c>
      <c r="D22" s="2">
        <f t="shared" ref="D22:D31" si="21">D21+(D$32-D$20)/12</f>
        <v>240</v>
      </c>
      <c r="E22" s="2">
        <f t="shared" si="18"/>
        <v>400</v>
      </c>
      <c r="F22" s="15">
        <f t="shared" si="19"/>
        <v>20</v>
      </c>
      <c r="G22" s="2">
        <f t="shared" si="20"/>
        <v>40</v>
      </c>
      <c r="H22" s="15">
        <f t="shared" si="3"/>
        <v>260</v>
      </c>
      <c r="I22" s="2">
        <f t="shared" si="4"/>
        <v>440</v>
      </c>
      <c r="J22" s="2">
        <f t="shared" si="15"/>
        <v>1000</v>
      </c>
      <c r="K22" s="2">
        <f t="shared" si="16"/>
        <v>30</v>
      </c>
      <c r="L22" s="15">
        <f t="shared" si="5"/>
        <v>260000</v>
      </c>
      <c r="M22" s="2">
        <f t="shared" si="6"/>
        <v>440000</v>
      </c>
      <c r="N22" s="2">
        <f t="shared" si="7"/>
        <v>7800000</v>
      </c>
      <c r="O22" s="2">
        <f t="shared" si="8"/>
        <v>13200000</v>
      </c>
      <c r="P22" s="2">
        <f>SUM(N$8:N22)</f>
        <v>65325000</v>
      </c>
      <c r="Q22" s="9">
        <f>SUM(O$8:O22)</f>
        <v>110550000</v>
      </c>
      <c r="R22" s="17">
        <f t="shared" si="9"/>
        <v>31</v>
      </c>
      <c r="S22" s="2">
        <f t="shared" si="10"/>
        <v>8387.0967741935492</v>
      </c>
      <c r="T22" s="2">
        <f t="shared" si="11"/>
        <v>14193.548387096775</v>
      </c>
      <c r="U22" s="2">
        <f t="shared" si="12"/>
        <v>251612.90322580645</v>
      </c>
      <c r="V22" s="2">
        <f t="shared" si="13"/>
        <v>3566129.0322580645</v>
      </c>
    </row>
    <row r="23" spans="3:22" x14ac:dyDescent="0.45">
      <c r="C23" s="7">
        <v>43617</v>
      </c>
      <c r="D23" s="2">
        <f t="shared" si="21"/>
        <v>270</v>
      </c>
      <c r="E23" s="2">
        <f t="shared" si="18"/>
        <v>450</v>
      </c>
      <c r="F23" s="15">
        <f t="shared" si="19"/>
        <v>22.5</v>
      </c>
      <c r="G23" s="2">
        <f t="shared" si="20"/>
        <v>45</v>
      </c>
      <c r="H23" s="15">
        <f t="shared" si="3"/>
        <v>292.5</v>
      </c>
      <c r="I23" s="2">
        <f t="shared" si="4"/>
        <v>495</v>
      </c>
      <c r="J23" s="2">
        <f t="shared" si="15"/>
        <v>1000</v>
      </c>
      <c r="K23" s="2">
        <f t="shared" si="16"/>
        <v>30</v>
      </c>
      <c r="L23" s="15">
        <f t="shared" si="5"/>
        <v>292500</v>
      </c>
      <c r="M23" s="2">
        <f t="shared" si="6"/>
        <v>495000</v>
      </c>
      <c r="N23" s="2">
        <f t="shared" si="7"/>
        <v>8775000</v>
      </c>
      <c r="O23" s="2">
        <f t="shared" si="8"/>
        <v>14850000</v>
      </c>
      <c r="P23" s="2">
        <f>SUM(N$8:N23)</f>
        <v>74100000</v>
      </c>
      <c r="Q23" s="9">
        <f>SUM(O$8:O23)</f>
        <v>125400000</v>
      </c>
      <c r="R23" s="17">
        <f t="shared" si="9"/>
        <v>30</v>
      </c>
      <c r="S23" s="2">
        <f t="shared" si="10"/>
        <v>9750</v>
      </c>
      <c r="T23" s="2">
        <f t="shared" si="11"/>
        <v>16500</v>
      </c>
      <c r="U23" s="2">
        <f t="shared" si="12"/>
        <v>292500</v>
      </c>
      <c r="V23" s="2">
        <f t="shared" si="13"/>
        <v>4180000</v>
      </c>
    </row>
    <row r="24" spans="3:22" x14ac:dyDescent="0.45">
      <c r="C24" s="7">
        <v>43647</v>
      </c>
      <c r="D24" s="2">
        <f t="shared" si="21"/>
        <v>300</v>
      </c>
      <c r="E24" s="2">
        <f t="shared" si="18"/>
        <v>500</v>
      </c>
      <c r="F24" s="15">
        <f t="shared" si="19"/>
        <v>25</v>
      </c>
      <c r="G24" s="2">
        <f t="shared" si="20"/>
        <v>50</v>
      </c>
      <c r="H24" s="15">
        <f t="shared" si="3"/>
        <v>325</v>
      </c>
      <c r="I24" s="2">
        <f t="shared" si="4"/>
        <v>550</v>
      </c>
      <c r="J24" s="2">
        <f t="shared" si="15"/>
        <v>1000</v>
      </c>
      <c r="K24" s="2">
        <f t="shared" si="16"/>
        <v>30</v>
      </c>
      <c r="L24" s="15">
        <f t="shared" si="5"/>
        <v>325000</v>
      </c>
      <c r="M24" s="2">
        <f t="shared" si="6"/>
        <v>550000</v>
      </c>
      <c r="N24" s="2">
        <f t="shared" si="7"/>
        <v>9750000</v>
      </c>
      <c r="O24" s="2">
        <f t="shared" si="8"/>
        <v>16500000</v>
      </c>
      <c r="P24" s="2">
        <f>SUM(N$8:N24)</f>
        <v>83850000</v>
      </c>
      <c r="Q24" s="9">
        <f>SUM(O$8:O24)</f>
        <v>141900000</v>
      </c>
      <c r="R24" s="17">
        <f t="shared" si="9"/>
        <v>31</v>
      </c>
      <c r="S24" s="2">
        <f t="shared" si="10"/>
        <v>10483.870967741936</v>
      </c>
      <c r="T24" s="2">
        <f t="shared" si="11"/>
        <v>17741.935483870966</v>
      </c>
      <c r="U24" s="2">
        <f t="shared" si="12"/>
        <v>314516.12903225806</v>
      </c>
      <c r="V24" s="2">
        <f t="shared" si="13"/>
        <v>4577419.3548387093</v>
      </c>
    </row>
    <row r="25" spans="3:22" x14ac:dyDescent="0.45">
      <c r="C25" s="7">
        <v>43678</v>
      </c>
      <c r="D25" s="2">
        <f t="shared" si="21"/>
        <v>330</v>
      </c>
      <c r="E25" s="2">
        <f t="shared" si="18"/>
        <v>550</v>
      </c>
      <c r="F25" s="15">
        <f t="shared" si="19"/>
        <v>27.5</v>
      </c>
      <c r="G25" s="2">
        <f t="shared" si="20"/>
        <v>55</v>
      </c>
      <c r="H25" s="15">
        <f t="shared" si="3"/>
        <v>357.5</v>
      </c>
      <c r="I25" s="2">
        <f t="shared" si="4"/>
        <v>605</v>
      </c>
      <c r="J25" s="2">
        <f t="shared" si="15"/>
        <v>1000</v>
      </c>
      <c r="K25" s="2">
        <f t="shared" si="16"/>
        <v>30</v>
      </c>
      <c r="L25" s="15">
        <f t="shared" si="5"/>
        <v>357500</v>
      </c>
      <c r="M25" s="2">
        <f t="shared" si="6"/>
        <v>605000</v>
      </c>
      <c r="N25" s="2">
        <f t="shared" si="7"/>
        <v>10725000</v>
      </c>
      <c r="O25" s="2">
        <f t="shared" si="8"/>
        <v>18150000</v>
      </c>
      <c r="P25" s="2">
        <f>SUM(N$8:N25)</f>
        <v>94575000</v>
      </c>
      <c r="Q25" s="9">
        <f>SUM(O$8:O25)</f>
        <v>160050000</v>
      </c>
      <c r="R25" s="17">
        <f t="shared" si="9"/>
        <v>31</v>
      </c>
      <c r="S25" s="2">
        <f t="shared" si="10"/>
        <v>11532.258064516129</v>
      </c>
      <c r="T25" s="2">
        <f t="shared" si="11"/>
        <v>19516.129032258064</v>
      </c>
      <c r="U25" s="2">
        <f t="shared" si="12"/>
        <v>345967.74193548388</v>
      </c>
      <c r="V25" s="2">
        <f t="shared" si="13"/>
        <v>5162903.2258064514</v>
      </c>
    </row>
    <row r="26" spans="3:22" x14ac:dyDescent="0.45">
      <c r="C26" s="7">
        <v>43709</v>
      </c>
      <c r="D26" s="2">
        <f t="shared" si="21"/>
        <v>360</v>
      </c>
      <c r="E26" s="2">
        <f t="shared" si="18"/>
        <v>600</v>
      </c>
      <c r="F26" s="15">
        <f t="shared" si="19"/>
        <v>30</v>
      </c>
      <c r="G26" s="2">
        <f t="shared" si="20"/>
        <v>60</v>
      </c>
      <c r="H26" s="15">
        <f t="shared" si="3"/>
        <v>390</v>
      </c>
      <c r="I26" s="2">
        <f t="shared" si="4"/>
        <v>660</v>
      </c>
      <c r="J26" s="2">
        <f t="shared" si="15"/>
        <v>1000</v>
      </c>
      <c r="K26" s="2">
        <f t="shared" si="16"/>
        <v>30</v>
      </c>
      <c r="L26" s="15">
        <f t="shared" si="5"/>
        <v>390000</v>
      </c>
      <c r="M26" s="2">
        <f t="shared" si="6"/>
        <v>660000</v>
      </c>
      <c r="N26" s="2">
        <f t="shared" si="7"/>
        <v>11700000</v>
      </c>
      <c r="O26" s="2">
        <f t="shared" si="8"/>
        <v>19800000</v>
      </c>
      <c r="P26" s="2">
        <f>SUM(N$8:N26)</f>
        <v>106275000</v>
      </c>
      <c r="Q26" s="9">
        <f>SUM(O$8:O26)</f>
        <v>179850000</v>
      </c>
      <c r="R26" s="17">
        <f t="shared" si="9"/>
        <v>30</v>
      </c>
      <c r="S26" s="2">
        <f t="shared" si="10"/>
        <v>13000</v>
      </c>
      <c r="T26" s="2">
        <f t="shared" si="11"/>
        <v>22000</v>
      </c>
      <c r="U26" s="2">
        <f t="shared" si="12"/>
        <v>390000</v>
      </c>
      <c r="V26" s="2">
        <f t="shared" si="13"/>
        <v>5995000</v>
      </c>
    </row>
    <row r="27" spans="3:22" x14ac:dyDescent="0.45">
      <c r="C27" s="7">
        <v>43739</v>
      </c>
      <c r="D27" s="2">
        <f t="shared" si="21"/>
        <v>390</v>
      </c>
      <c r="E27" s="2">
        <f t="shared" si="18"/>
        <v>650</v>
      </c>
      <c r="F27" s="15">
        <f t="shared" si="19"/>
        <v>32.5</v>
      </c>
      <c r="G27" s="2">
        <f t="shared" si="20"/>
        <v>65</v>
      </c>
      <c r="H27" s="15">
        <f t="shared" si="3"/>
        <v>422.5</v>
      </c>
      <c r="I27" s="2">
        <f t="shared" si="4"/>
        <v>715</v>
      </c>
      <c r="J27" s="2">
        <f t="shared" si="15"/>
        <v>1000</v>
      </c>
      <c r="K27" s="2">
        <f t="shared" si="16"/>
        <v>30</v>
      </c>
      <c r="L27" s="15">
        <f t="shared" si="5"/>
        <v>422500</v>
      </c>
      <c r="M27" s="2">
        <f t="shared" si="6"/>
        <v>715000</v>
      </c>
      <c r="N27" s="2">
        <f t="shared" si="7"/>
        <v>12675000</v>
      </c>
      <c r="O27" s="2">
        <f t="shared" si="8"/>
        <v>21450000</v>
      </c>
      <c r="P27" s="9">
        <f>SUM(N$8:N27)</f>
        <v>118950000</v>
      </c>
      <c r="Q27" s="9">
        <f>SUM(O$8:O27)</f>
        <v>201300000</v>
      </c>
      <c r="R27" s="17">
        <f t="shared" si="9"/>
        <v>31</v>
      </c>
      <c r="S27" s="2">
        <f t="shared" si="10"/>
        <v>13629.032258064517</v>
      </c>
      <c r="T27" s="2">
        <f t="shared" si="11"/>
        <v>23064.516129032258</v>
      </c>
      <c r="U27" s="2">
        <f t="shared" si="12"/>
        <v>408870.96774193546</v>
      </c>
      <c r="V27" s="2">
        <f t="shared" si="13"/>
        <v>6493548.3870967738</v>
      </c>
    </row>
    <row r="28" spans="3:22" x14ac:dyDescent="0.45">
      <c r="C28" s="7">
        <v>43770</v>
      </c>
      <c r="D28" s="2">
        <f t="shared" si="21"/>
        <v>420</v>
      </c>
      <c r="E28" s="2">
        <f t="shared" si="18"/>
        <v>700</v>
      </c>
      <c r="F28" s="15">
        <f t="shared" si="19"/>
        <v>35</v>
      </c>
      <c r="G28" s="2">
        <f t="shared" si="20"/>
        <v>70</v>
      </c>
      <c r="H28" s="15">
        <f t="shared" si="3"/>
        <v>455</v>
      </c>
      <c r="I28" s="2">
        <f t="shared" si="4"/>
        <v>770</v>
      </c>
      <c r="J28" s="2">
        <f t="shared" si="15"/>
        <v>1000</v>
      </c>
      <c r="K28" s="2">
        <f t="shared" si="16"/>
        <v>30</v>
      </c>
      <c r="L28" s="15">
        <f t="shared" si="5"/>
        <v>455000</v>
      </c>
      <c r="M28" s="2">
        <f t="shared" si="6"/>
        <v>770000</v>
      </c>
      <c r="N28" s="2">
        <f t="shared" si="7"/>
        <v>13650000</v>
      </c>
      <c r="O28" s="2">
        <f t="shared" si="8"/>
        <v>23100000</v>
      </c>
      <c r="P28" s="9">
        <f>SUM(N$8:N28)</f>
        <v>132600000</v>
      </c>
      <c r="Q28" s="9">
        <f>SUM(O$8:O28)</f>
        <v>224400000</v>
      </c>
      <c r="R28" s="17">
        <f t="shared" si="9"/>
        <v>30</v>
      </c>
      <c r="S28" s="2">
        <f t="shared" si="10"/>
        <v>15166.666666666666</v>
      </c>
      <c r="T28" s="2">
        <f t="shared" si="11"/>
        <v>25666.666666666668</v>
      </c>
      <c r="U28" s="2">
        <f t="shared" si="12"/>
        <v>455000</v>
      </c>
      <c r="V28" s="2">
        <f t="shared" si="13"/>
        <v>7480000</v>
      </c>
    </row>
    <row r="29" spans="3:22" x14ac:dyDescent="0.45">
      <c r="C29" s="7">
        <v>43800</v>
      </c>
      <c r="D29" s="2">
        <f t="shared" si="21"/>
        <v>450</v>
      </c>
      <c r="E29" s="2">
        <f t="shared" si="18"/>
        <v>750</v>
      </c>
      <c r="F29" s="15">
        <f t="shared" si="19"/>
        <v>37.5</v>
      </c>
      <c r="G29" s="2">
        <f t="shared" si="20"/>
        <v>75</v>
      </c>
      <c r="H29" s="15">
        <f t="shared" si="3"/>
        <v>487.5</v>
      </c>
      <c r="I29" s="2">
        <f t="shared" si="4"/>
        <v>825</v>
      </c>
      <c r="J29" s="2">
        <f t="shared" si="15"/>
        <v>1000</v>
      </c>
      <c r="K29" s="2">
        <f t="shared" si="16"/>
        <v>30</v>
      </c>
      <c r="L29" s="15">
        <f t="shared" si="5"/>
        <v>487500</v>
      </c>
      <c r="M29" s="2">
        <f t="shared" si="6"/>
        <v>825000</v>
      </c>
      <c r="N29" s="2">
        <f t="shared" si="7"/>
        <v>14625000</v>
      </c>
      <c r="O29" s="2">
        <f t="shared" si="8"/>
        <v>24750000</v>
      </c>
      <c r="P29" s="9">
        <f>SUM(N$8:N29)</f>
        <v>147225000</v>
      </c>
      <c r="Q29" s="9">
        <f>SUM(O$8:O29)</f>
        <v>249150000</v>
      </c>
      <c r="R29" s="17">
        <f t="shared" si="9"/>
        <v>31</v>
      </c>
      <c r="S29" s="2">
        <f t="shared" si="10"/>
        <v>15725.806451612903</v>
      </c>
      <c r="T29" s="2">
        <f t="shared" si="11"/>
        <v>26612.903225806451</v>
      </c>
      <c r="U29" s="2">
        <f t="shared" si="12"/>
        <v>471774.19354838709</v>
      </c>
      <c r="V29" s="2">
        <f t="shared" si="13"/>
        <v>8037096.7741935486</v>
      </c>
    </row>
    <row r="30" spans="3:22" x14ac:dyDescent="0.45">
      <c r="C30" s="7">
        <v>43831</v>
      </c>
      <c r="D30" s="2">
        <f t="shared" si="21"/>
        <v>480</v>
      </c>
      <c r="E30" s="2">
        <f t="shared" si="18"/>
        <v>800</v>
      </c>
      <c r="F30" s="15">
        <f t="shared" si="19"/>
        <v>40</v>
      </c>
      <c r="G30" s="2">
        <f t="shared" si="20"/>
        <v>80</v>
      </c>
      <c r="H30" s="15">
        <f t="shared" si="3"/>
        <v>520</v>
      </c>
      <c r="I30" s="2">
        <f t="shared" si="4"/>
        <v>880</v>
      </c>
      <c r="J30" s="2">
        <f t="shared" si="15"/>
        <v>1000</v>
      </c>
      <c r="K30" s="2">
        <f t="shared" si="16"/>
        <v>30</v>
      </c>
      <c r="L30" s="15">
        <f t="shared" si="5"/>
        <v>520000</v>
      </c>
      <c r="M30" s="2">
        <f t="shared" si="6"/>
        <v>880000</v>
      </c>
      <c r="N30" s="2">
        <f t="shared" si="7"/>
        <v>15600000</v>
      </c>
      <c r="O30" s="2">
        <f t="shared" si="8"/>
        <v>26400000</v>
      </c>
      <c r="P30" s="9">
        <f>SUM(N$8:N30)</f>
        <v>162825000</v>
      </c>
      <c r="Q30" s="9">
        <f>SUM(O$8:O30)</f>
        <v>275550000</v>
      </c>
      <c r="R30" s="17">
        <f t="shared" si="9"/>
        <v>31</v>
      </c>
      <c r="S30" s="2">
        <f t="shared" si="10"/>
        <v>16774.193548387098</v>
      </c>
      <c r="T30" s="2">
        <f t="shared" si="11"/>
        <v>28387.096774193549</v>
      </c>
      <c r="U30" s="2">
        <f t="shared" si="12"/>
        <v>503225.80645161291</v>
      </c>
      <c r="V30" s="2">
        <f t="shared" si="13"/>
        <v>8888709.6774193551</v>
      </c>
    </row>
    <row r="31" spans="3:22" x14ac:dyDescent="0.45">
      <c r="C31" s="7">
        <v>43862</v>
      </c>
      <c r="D31" s="2">
        <f t="shared" si="21"/>
        <v>510</v>
      </c>
      <c r="E31" s="2">
        <f t="shared" si="18"/>
        <v>850</v>
      </c>
      <c r="F31" s="15">
        <f t="shared" si="19"/>
        <v>42.5</v>
      </c>
      <c r="G31" s="2">
        <f t="shared" si="20"/>
        <v>85</v>
      </c>
      <c r="H31" s="15">
        <f t="shared" si="3"/>
        <v>552.5</v>
      </c>
      <c r="I31" s="2">
        <f t="shared" si="4"/>
        <v>935</v>
      </c>
      <c r="J31" s="2">
        <f t="shared" si="15"/>
        <v>1000</v>
      </c>
      <c r="K31" s="2">
        <f t="shared" si="16"/>
        <v>30</v>
      </c>
      <c r="L31" s="15">
        <f t="shared" si="5"/>
        <v>552500</v>
      </c>
      <c r="M31" s="2">
        <f t="shared" si="6"/>
        <v>935000</v>
      </c>
      <c r="N31" s="2">
        <f t="shared" si="7"/>
        <v>16575000</v>
      </c>
      <c r="O31" s="2">
        <f t="shared" si="8"/>
        <v>28050000</v>
      </c>
      <c r="P31" s="9">
        <f>SUM(N$8:N31)</f>
        <v>179400000</v>
      </c>
      <c r="Q31" s="9">
        <f>SUM(O$8:O31)</f>
        <v>303600000</v>
      </c>
      <c r="R31" s="17">
        <f t="shared" si="9"/>
        <v>29</v>
      </c>
      <c r="S31" s="2">
        <f t="shared" si="10"/>
        <v>19051.724137931036</v>
      </c>
      <c r="T31" s="2">
        <f t="shared" si="11"/>
        <v>32241.379310344826</v>
      </c>
      <c r="U31" s="2">
        <f t="shared" si="12"/>
        <v>571551.72413793101</v>
      </c>
      <c r="V31" s="2">
        <f t="shared" si="13"/>
        <v>10468965.517241379</v>
      </c>
    </row>
    <row r="32" spans="3:22" x14ac:dyDescent="0.45">
      <c r="C32" s="7">
        <v>43891</v>
      </c>
      <c r="D32" s="8">
        <f t="shared" ref="D32:G32" si="22">D20*3</f>
        <v>540</v>
      </c>
      <c r="E32" s="8">
        <f t="shared" si="22"/>
        <v>900</v>
      </c>
      <c r="F32" s="16">
        <f t="shared" si="22"/>
        <v>45</v>
      </c>
      <c r="G32" s="8">
        <f t="shared" si="22"/>
        <v>90</v>
      </c>
      <c r="H32" s="15">
        <f t="shared" si="3"/>
        <v>585</v>
      </c>
      <c r="I32" s="2">
        <f t="shared" si="4"/>
        <v>990</v>
      </c>
      <c r="J32" s="2">
        <f t="shared" si="15"/>
        <v>1000</v>
      </c>
      <c r="K32" s="2">
        <f t="shared" si="16"/>
        <v>30</v>
      </c>
      <c r="L32" s="15">
        <f t="shared" si="5"/>
        <v>585000</v>
      </c>
      <c r="M32" s="2">
        <f t="shared" si="6"/>
        <v>990000</v>
      </c>
      <c r="N32" s="2">
        <f t="shared" si="7"/>
        <v>17550000</v>
      </c>
      <c r="O32" s="2">
        <f t="shared" si="8"/>
        <v>29700000</v>
      </c>
      <c r="P32" s="9">
        <f>SUM(N$8:N32)</f>
        <v>196950000</v>
      </c>
      <c r="Q32" s="9">
        <f>SUM(O$8:O32)</f>
        <v>333300000</v>
      </c>
      <c r="R32" s="17">
        <f t="shared" si="9"/>
        <v>31</v>
      </c>
      <c r="S32" s="2">
        <f t="shared" si="10"/>
        <v>18870.967741935485</v>
      </c>
      <c r="T32" s="2">
        <f t="shared" si="11"/>
        <v>31935.483870967742</v>
      </c>
      <c r="U32" s="2">
        <f t="shared" si="12"/>
        <v>566129.03225806449</v>
      </c>
      <c r="V32" s="2">
        <f t="shared" si="13"/>
        <v>10751612.903225806</v>
      </c>
    </row>
    <row r="33" spans="3:22" x14ac:dyDescent="0.45">
      <c r="C33" s="7">
        <v>43922</v>
      </c>
      <c r="D33" s="2">
        <f>D32+(D$44-D$32)/12</f>
        <v>630</v>
      </c>
      <c r="E33" s="2">
        <f t="shared" ref="E33:E43" si="23">E32+(E$44-E$32)/12</f>
        <v>1050</v>
      </c>
      <c r="F33" s="15">
        <f t="shared" ref="F33:F43" si="24">F32+(F$44-F$32)/12</f>
        <v>52.5</v>
      </c>
      <c r="G33" s="2">
        <f t="shared" ref="G33:G43" si="25">G32+(G$44-G$32)/12</f>
        <v>105</v>
      </c>
      <c r="H33" s="15">
        <f t="shared" si="3"/>
        <v>682.5</v>
      </c>
      <c r="I33" s="2">
        <f t="shared" si="4"/>
        <v>1155</v>
      </c>
      <c r="J33" s="2">
        <f t="shared" si="15"/>
        <v>1000</v>
      </c>
      <c r="K33" s="2">
        <f t="shared" si="16"/>
        <v>30</v>
      </c>
      <c r="L33" s="15">
        <f t="shared" si="5"/>
        <v>682500</v>
      </c>
      <c r="M33" s="2">
        <f t="shared" si="6"/>
        <v>1155000</v>
      </c>
      <c r="N33" s="2">
        <f t="shared" si="7"/>
        <v>20475000</v>
      </c>
      <c r="O33" s="2">
        <f t="shared" si="8"/>
        <v>34650000</v>
      </c>
      <c r="P33" s="9">
        <f>SUM(N$8:N33)</f>
        <v>217425000</v>
      </c>
      <c r="Q33" s="9">
        <f>SUM(O$8:O33)</f>
        <v>367950000</v>
      </c>
      <c r="R33" s="17">
        <f t="shared" si="9"/>
        <v>30</v>
      </c>
      <c r="S33" s="2">
        <f t="shared" si="10"/>
        <v>22750</v>
      </c>
      <c r="T33" s="2">
        <f t="shared" si="11"/>
        <v>38500</v>
      </c>
      <c r="U33" s="2">
        <f t="shared" si="12"/>
        <v>682500</v>
      </c>
      <c r="V33" s="2">
        <f t="shared" si="13"/>
        <v>12265000</v>
      </c>
    </row>
    <row r="34" spans="3:22" x14ac:dyDescent="0.45">
      <c r="C34" s="7">
        <v>43952</v>
      </c>
      <c r="D34" s="2">
        <f t="shared" ref="D34:D43" si="26">D33+(D$44-D$32)/12</f>
        <v>720</v>
      </c>
      <c r="E34" s="2">
        <f t="shared" si="23"/>
        <v>1200</v>
      </c>
      <c r="F34" s="15">
        <f t="shared" si="24"/>
        <v>60</v>
      </c>
      <c r="G34" s="2">
        <f t="shared" si="25"/>
        <v>120</v>
      </c>
      <c r="H34" s="15">
        <f t="shared" si="3"/>
        <v>780</v>
      </c>
      <c r="I34" s="2">
        <f t="shared" si="4"/>
        <v>1320</v>
      </c>
      <c r="J34" s="2">
        <f t="shared" si="15"/>
        <v>1000</v>
      </c>
      <c r="K34" s="2">
        <f t="shared" si="16"/>
        <v>30</v>
      </c>
      <c r="L34" s="15">
        <f t="shared" si="5"/>
        <v>780000</v>
      </c>
      <c r="M34" s="2">
        <f t="shared" si="6"/>
        <v>1320000</v>
      </c>
      <c r="N34" s="2">
        <f t="shared" si="7"/>
        <v>23400000</v>
      </c>
      <c r="O34" s="2">
        <f t="shared" si="8"/>
        <v>39600000</v>
      </c>
      <c r="P34" s="9">
        <f>SUM(N$8:N34)</f>
        <v>240825000</v>
      </c>
      <c r="Q34" s="9">
        <f>SUM(O$8:O34)</f>
        <v>407550000</v>
      </c>
      <c r="R34" s="17">
        <f t="shared" si="9"/>
        <v>31</v>
      </c>
      <c r="S34" s="2">
        <f t="shared" si="10"/>
        <v>25161.290322580644</v>
      </c>
      <c r="T34" s="2">
        <f t="shared" si="11"/>
        <v>42580.645161290326</v>
      </c>
      <c r="U34" s="2">
        <f t="shared" si="12"/>
        <v>754838.70967741939</v>
      </c>
      <c r="V34" s="2">
        <f t="shared" si="13"/>
        <v>13146774.193548387</v>
      </c>
    </row>
    <row r="35" spans="3:22" x14ac:dyDescent="0.45">
      <c r="C35" s="7">
        <v>43983</v>
      </c>
      <c r="D35" s="2">
        <f t="shared" si="26"/>
        <v>810</v>
      </c>
      <c r="E35" s="2">
        <f t="shared" si="23"/>
        <v>1350</v>
      </c>
      <c r="F35" s="15">
        <f t="shared" si="24"/>
        <v>67.5</v>
      </c>
      <c r="G35" s="2">
        <f t="shared" si="25"/>
        <v>135</v>
      </c>
      <c r="H35" s="15">
        <f t="shared" si="3"/>
        <v>877.5</v>
      </c>
      <c r="I35" s="2">
        <f t="shared" si="4"/>
        <v>1485</v>
      </c>
      <c r="J35" s="2">
        <f t="shared" si="15"/>
        <v>1000</v>
      </c>
      <c r="K35" s="2">
        <f t="shared" si="16"/>
        <v>30</v>
      </c>
      <c r="L35" s="15">
        <f t="shared" si="5"/>
        <v>877500</v>
      </c>
      <c r="M35" s="2">
        <f t="shared" si="6"/>
        <v>1485000</v>
      </c>
      <c r="N35" s="2">
        <f t="shared" si="7"/>
        <v>26325000</v>
      </c>
      <c r="O35" s="2">
        <f t="shared" si="8"/>
        <v>44550000</v>
      </c>
      <c r="P35" s="9">
        <f>SUM(N$8:N35)</f>
        <v>267150000</v>
      </c>
      <c r="Q35" s="9">
        <f>SUM(O$8:O35)</f>
        <v>452100000</v>
      </c>
      <c r="R35" s="17">
        <f t="shared" si="9"/>
        <v>30</v>
      </c>
      <c r="S35" s="2">
        <f t="shared" si="10"/>
        <v>29250</v>
      </c>
      <c r="T35" s="2">
        <f t="shared" si="11"/>
        <v>49500</v>
      </c>
      <c r="U35" s="2">
        <f t="shared" si="12"/>
        <v>877500</v>
      </c>
      <c r="V35" s="2">
        <f t="shared" si="13"/>
        <v>15070000</v>
      </c>
    </row>
    <row r="36" spans="3:22" x14ac:dyDescent="0.45">
      <c r="C36" s="7">
        <v>44013</v>
      </c>
      <c r="D36" s="2">
        <f t="shared" si="26"/>
        <v>900</v>
      </c>
      <c r="E36" s="2">
        <f t="shared" si="23"/>
        <v>1500</v>
      </c>
      <c r="F36" s="15">
        <f t="shared" si="24"/>
        <v>75</v>
      </c>
      <c r="G36" s="2">
        <f t="shared" si="25"/>
        <v>150</v>
      </c>
      <c r="H36" s="15">
        <f t="shared" si="3"/>
        <v>975</v>
      </c>
      <c r="I36" s="2">
        <f t="shared" si="4"/>
        <v>1650</v>
      </c>
      <c r="J36" s="2">
        <f t="shared" si="15"/>
        <v>1000</v>
      </c>
      <c r="K36" s="2">
        <f t="shared" si="16"/>
        <v>30</v>
      </c>
      <c r="L36" s="15">
        <f t="shared" si="5"/>
        <v>975000</v>
      </c>
      <c r="M36" s="2">
        <f t="shared" si="6"/>
        <v>1650000</v>
      </c>
      <c r="N36" s="2">
        <f t="shared" si="7"/>
        <v>29250000</v>
      </c>
      <c r="O36" s="2">
        <f t="shared" si="8"/>
        <v>49500000</v>
      </c>
      <c r="P36" s="9">
        <f>SUM(N$8:N36)</f>
        <v>296400000</v>
      </c>
      <c r="Q36" s="9">
        <f>SUM(O$8:O36)</f>
        <v>501600000</v>
      </c>
      <c r="R36" s="17">
        <f t="shared" si="9"/>
        <v>31</v>
      </c>
      <c r="S36" s="2">
        <f t="shared" si="10"/>
        <v>31451.612903225807</v>
      </c>
      <c r="T36" s="2">
        <f t="shared" si="11"/>
        <v>53225.806451612902</v>
      </c>
      <c r="U36" s="2">
        <f t="shared" si="12"/>
        <v>943548.38709677418</v>
      </c>
      <c r="V36" s="2">
        <f t="shared" si="13"/>
        <v>16180645.161290323</v>
      </c>
    </row>
    <row r="37" spans="3:22" x14ac:dyDescent="0.45">
      <c r="C37" s="7">
        <v>44044</v>
      </c>
      <c r="D37" s="2">
        <f t="shared" si="26"/>
        <v>990</v>
      </c>
      <c r="E37" s="2">
        <f t="shared" si="23"/>
        <v>1650</v>
      </c>
      <c r="F37" s="15">
        <f t="shared" si="24"/>
        <v>82.5</v>
      </c>
      <c r="G37" s="2">
        <f t="shared" si="25"/>
        <v>165</v>
      </c>
      <c r="H37" s="15">
        <f t="shared" si="3"/>
        <v>1072.5</v>
      </c>
      <c r="I37" s="2">
        <f t="shared" si="4"/>
        <v>1815</v>
      </c>
      <c r="J37" s="2">
        <f t="shared" si="15"/>
        <v>1000</v>
      </c>
      <c r="K37" s="2">
        <f t="shared" si="16"/>
        <v>30</v>
      </c>
      <c r="L37" s="15">
        <f t="shared" si="5"/>
        <v>1072500</v>
      </c>
      <c r="M37" s="2">
        <f t="shared" si="6"/>
        <v>1815000</v>
      </c>
      <c r="N37" s="2">
        <f t="shared" si="7"/>
        <v>32175000</v>
      </c>
      <c r="O37" s="2">
        <f t="shared" si="8"/>
        <v>54450000</v>
      </c>
      <c r="P37" s="9">
        <f>SUM(N$8:N37)</f>
        <v>328575000</v>
      </c>
      <c r="Q37" s="9">
        <f>SUM(O$8:O37)</f>
        <v>556050000</v>
      </c>
      <c r="R37" s="17">
        <f t="shared" si="9"/>
        <v>31</v>
      </c>
      <c r="S37" s="2">
        <f t="shared" si="10"/>
        <v>34596.774193548386</v>
      </c>
      <c r="T37" s="2">
        <f t="shared" si="11"/>
        <v>58548.387096774197</v>
      </c>
      <c r="U37" s="2">
        <f t="shared" si="12"/>
        <v>1037903.2258064516</v>
      </c>
      <c r="V37" s="2">
        <f t="shared" si="13"/>
        <v>17937096.774193548</v>
      </c>
    </row>
    <row r="38" spans="3:22" x14ac:dyDescent="0.45">
      <c r="C38" s="7">
        <v>44075</v>
      </c>
      <c r="D38" s="2">
        <f t="shared" si="26"/>
        <v>1080</v>
      </c>
      <c r="E38" s="2">
        <f t="shared" si="23"/>
        <v>1800</v>
      </c>
      <c r="F38" s="15">
        <f t="shared" si="24"/>
        <v>90</v>
      </c>
      <c r="G38" s="2">
        <f t="shared" si="25"/>
        <v>180</v>
      </c>
      <c r="H38" s="15">
        <f t="shared" si="3"/>
        <v>1170</v>
      </c>
      <c r="I38" s="2">
        <f t="shared" si="4"/>
        <v>1980</v>
      </c>
      <c r="J38" s="2">
        <f t="shared" si="15"/>
        <v>1000</v>
      </c>
      <c r="K38" s="2">
        <f t="shared" si="16"/>
        <v>30</v>
      </c>
      <c r="L38" s="15">
        <f t="shared" si="5"/>
        <v>1170000</v>
      </c>
      <c r="M38" s="2">
        <f t="shared" si="6"/>
        <v>1980000</v>
      </c>
      <c r="N38" s="2">
        <f t="shared" si="7"/>
        <v>35100000</v>
      </c>
      <c r="O38" s="2">
        <f t="shared" si="8"/>
        <v>59400000</v>
      </c>
      <c r="P38" s="9">
        <f>SUM(N$8:N38)</f>
        <v>363675000</v>
      </c>
      <c r="Q38" s="9">
        <f>SUM(O$8:O38)</f>
        <v>615450000</v>
      </c>
      <c r="R38" s="17">
        <f t="shared" si="9"/>
        <v>30</v>
      </c>
      <c r="S38" s="2">
        <f t="shared" si="10"/>
        <v>39000</v>
      </c>
      <c r="T38" s="2">
        <f t="shared" si="11"/>
        <v>66000</v>
      </c>
      <c r="U38" s="2">
        <f t="shared" si="12"/>
        <v>1170000</v>
      </c>
      <c r="V38" s="2">
        <f t="shared" si="13"/>
        <v>20515000</v>
      </c>
    </row>
    <row r="39" spans="3:22" x14ac:dyDescent="0.45">
      <c r="C39" s="7">
        <v>44105</v>
      </c>
      <c r="D39" s="2">
        <f t="shared" si="26"/>
        <v>1170</v>
      </c>
      <c r="E39" s="2">
        <f t="shared" si="23"/>
        <v>1950</v>
      </c>
      <c r="F39" s="15">
        <f t="shared" si="24"/>
        <v>97.5</v>
      </c>
      <c r="G39" s="2">
        <f t="shared" si="25"/>
        <v>195</v>
      </c>
      <c r="H39" s="15">
        <f t="shared" si="3"/>
        <v>1267.5</v>
      </c>
      <c r="I39" s="2">
        <f t="shared" si="4"/>
        <v>2145</v>
      </c>
      <c r="J39" s="2">
        <f t="shared" si="15"/>
        <v>1000</v>
      </c>
      <c r="K39" s="2">
        <f t="shared" si="16"/>
        <v>30</v>
      </c>
      <c r="L39" s="15">
        <f t="shared" si="5"/>
        <v>1267500</v>
      </c>
      <c r="M39" s="2">
        <f t="shared" si="6"/>
        <v>2145000</v>
      </c>
      <c r="N39" s="2">
        <f t="shared" si="7"/>
        <v>38025000</v>
      </c>
      <c r="O39" s="2">
        <f t="shared" si="8"/>
        <v>64350000</v>
      </c>
      <c r="P39" s="9">
        <f>SUM(N$8:N39)</f>
        <v>401700000</v>
      </c>
      <c r="Q39" s="9">
        <f>SUM(O$8:O39)</f>
        <v>679800000</v>
      </c>
      <c r="R39" s="17">
        <f t="shared" si="9"/>
        <v>31</v>
      </c>
      <c r="S39" s="2">
        <f t="shared" si="10"/>
        <v>40887.096774193546</v>
      </c>
      <c r="T39" s="2">
        <f t="shared" si="11"/>
        <v>69193.548387096773</v>
      </c>
      <c r="U39" s="2">
        <f t="shared" si="12"/>
        <v>1226612.9032258065</v>
      </c>
      <c r="V39" s="2">
        <f t="shared" si="13"/>
        <v>21929032.258064516</v>
      </c>
    </row>
    <row r="40" spans="3:22" x14ac:dyDescent="0.45">
      <c r="C40" s="7">
        <v>44136</v>
      </c>
      <c r="D40" s="2">
        <f t="shared" si="26"/>
        <v>1260</v>
      </c>
      <c r="E40" s="2">
        <f t="shared" si="23"/>
        <v>2100</v>
      </c>
      <c r="F40" s="15">
        <f t="shared" si="24"/>
        <v>105</v>
      </c>
      <c r="G40" s="2">
        <f t="shared" si="25"/>
        <v>210</v>
      </c>
      <c r="H40" s="15">
        <f t="shared" si="3"/>
        <v>1365</v>
      </c>
      <c r="I40" s="2">
        <f t="shared" si="4"/>
        <v>2310</v>
      </c>
      <c r="J40" s="2">
        <f t="shared" si="15"/>
        <v>1000</v>
      </c>
      <c r="K40" s="2">
        <f t="shared" si="16"/>
        <v>30</v>
      </c>
      <c r="L40" s="15">
        <f t="shared" si="5"/>
        <v>1365000</v>
      </c>
      <c r="M40" s="2">
        <f t="shared" si="6"/>
        <v>2310000</v>
      </c>
      <c r="N40" s="2">
        <f t="shared" si="7"/>
        <v>40950000</v>
      </c>
      <c r="O40" s="2">
        <f t="shared" si="8"/>
        <v>69300000</v>
      </c>
      <c r="P40" s="9">
        <f>SUM(N$8:N40)</f>
        <v>442650000</v>
      </c>
      <c r="Q40" s="9">
        <f>SUM(O$8:O40)</f>
        <v>749100000</v>
      </c>
      <c r="R40" s="17">
        <f t="shared" si="9"/>
        <v>30</v>
      </c>
      <c r="S40" s="2">
        <f t="shared" si="10"/>
        <v>45500</v>
      </c>
      <c r="T40" s="2">
        <f t="shared" si="11"/>
        <v>77000</v>
      </c>
      <c r="U40" s="2">
        <f t="shared" si="12"/>
        <v>1365000</v>
      </c>
      <c r="V40" s="2">
        <f t="shared" si="13"/>
        <v>24970000</v>
      </c>
    </row>
    <row r="41" spans="3:22" x14ac:dyDescent="0.45">
      <c r="C41" s="7">
        <v>44166</v>
      </c>
      <c r="D41" s="2">
        <f t="shared" si="26"/>
        <v>1350</v>
      </c>
      <c r="E41" s="2">
        <f t="shared" si="23"/>
        <v>2250</v>
      </c>
      <c r="F41" s="15">
        <f t="shared" si="24"/>
        <v>112.5</v>
      </c>
      <c r="G41" s="2">
        <f t="shared" si="25"/>
        <v>225</v>
      </c>
      <c r="H41" s="15">
        <f t="shared" si="3"/>
        <v>1462.5</v>
      </c>
      <c r="I41" s="2">
        <f t="shared" si="4"/>
        <v>2475</v>
      </c>
      <c r="J41" s="2">
        <f t="shared" si="15"/>
        <v>1000</v>
      </c>
      <c r="K41" s="2">
        <f t="shared" si="16"/>
        <v>30</v>
      </c>
      <c r="L41" s="15">
        <f t="shared" si="5"/>
        <v>1462500</v>
      </c>
      <c r="M41" s="2">
        <f t="shared" si="6"/>
        <v>2475000</v>
      </c>
      <c r="N41" s="2">
        <f t="shared" si="7"/>
        <v>43875000</v>
      </c>
      <c r="O41" s="2">
        <f t="shared" si="8"/>
        <v>74250000</v>
      </c>
      <c r="P41" s="9">
        <f>SUM(N$8:N41)</f>
        <v>486525000</v>
      </c>
      <c r="Q41" s="9">
        <f>SUM(O$8:O41)</f>
        <v>823350000</v>
      </c>
      <c r="R41" s="17">
        <f t="shared" si="9"/>
        <v>31</v>
      </c>
      <c r="S41" s="2">
        <f t="shared" si="10"/>
        <v>47177.419354838712</v>
      </c>
      <c r="T41" s="2">
        <f t="shared" si="11"/>
        <v>79838.709677419349</v>
      </c>
      <c r="U41" s="2">
        <f t="shared" si="12"/>
        <v>1415322.5806451612</v>
      </c>
      <c r="V41" s="2">
        <f t="shared" si="13"/>
        <v>26559677.419354837</v>
      </c>
    </row>
    <row r="42" spans="3:22" x14ac:dyDescent="0.45">
      <c r="C42" s="7">
        <v>44197</v>
      </c>
      <c r="D42" s="2">
        <f t="shared" si="26"/>
        <v>1440</v>
      </c>
      <c r="E42" s="2">
        <f t="shared" si="23"/>
        <v>2400</v>
      </c>
      <c r="F42" s="15">
        <f t="shared" si="24"/>
        <v>120</v>
      </c>
      <c r="G42" s="2">
        <f t="shared" si="25"/>
        <v>240</v>
      </c>
      <c r="H42" s="15">
        <f t="shared" si="3"/>
        <v>1560</v>
      </c>
      <c r="I42" s="2">
        <f t="shared" si="4"/>
        <v>2640</v>
      </c>
      <c r="J42" s="2">
        <f t="shared" si="15"/>
        <v>1000</v>
      </c>
      <c r="K42" s="2">
        <f t="shared" si="16"/>
        <v>30</v>
      </c>
      <c r="L42" s="15">
        <f t="shared" si="5"/>
        <v>1560000</v>
      </c>
      <c r="M42" s="2">
        <f t="shared" si="6"/>
        <v>2640000</v>
      </c>
      <c r="N42" s="2">
        <f t="shared" si="7"/>
        <v>46800000</v>
      </c>
      <c r="O42" s="2">
        <f t="shared" si="8"/>
        <v>79200000</v>
      </c>
      <c r="P42" s="9">
        <f>SUM(N$8:N42)</f>
        <v>533325000</v>
      </c>
      <c r="Q42" s="9">
        <f>SUM(O$8:O42)</f>
        <v>902550000</v>
      </c>
      <c r="R42" s="17">
        <f t="shared" si="9"/>
        <v>31</v>
      </c>
      <c r="S42" s="2">
        <f t="shared" si="10"/>
        <v>50322.580645161288</v>
      </c>
      <c r="T42" s="2">
        <f t="shared" si="11"/>
        <v>85161.290322580651</v>
      </c>
      <c r="U42" s="2">
        <f t="shared" si="12"/>
        <v>1509677.4193548388</v>
      </c>
      <c r="V42" s="2">
        <f t="shared" si="13"/>
        <v>29114516.129032258</v>
      </c>
    </row>
    <row r="43" spans="3:22" x14ac:dyDescent="0.45">
      <c r="C43" s="7">
        <v>44228</v>
      </c>
      <c r="D43" s="2">
        <f t="shared" si="26"/>
        <v>1530</v>
      </c>
      <c r="E43" s="2">
        <f t="shared" si="23"/>
        <v>2550</v>
      </c>
      <c r="F43" s="15">
        <f t="shared" si="24"/>
        <v>127.5</v>
      </c>
      <c r="G43" s="2">
        <f t="shared" si="25"/>
        <v>255</v>
      </c>
      <c r="H43" s="15">
        <f t="shared" si="3"/>
        <v>1657.5</v>
      </c>
      <c r="I43" s="2">
        <f t="shared" si="4"/>
        <v>2805</v>
      </c>
      <c r="J43" s="2">
        <f t="shared" si="15"/>
        <v>1000</v>
      </c>
      <c r="K43" s="2">
        <f t="shared" si="16"/>
        <v>30</v>
      </c>
      <c r="L43" s="15">
        <f t="shared" si="5"/>
        <v>1657500</v>
      </c>
      <c r="M43" s="2">
        <f t="shared" si="6"/>
        <v>2805000</v>
      </c>
      <c r="N43" s="2">
        <f t="shared" si="7"/>
        <v>49725000</v>
      </c>
      <c r="O43" s="2">
        <f t="shared" si="8"/>
        <v>84150000</v>
      </c>
      <c r="P43" s="9">
        <f>SUM(N$8:N43)</f>
        <v>583050000</v>
      </c>
      <c r="Q43" s="9">
        <f>SUM(O$8:O43)</f>
        <v>986700000</v>
      </c>
      <c r="R43" s="17">
        <f t="shared" si="9"/>
        <v>28</v>
      </c>
      <c r="S43" s="2">
        <f t="shared" si="10"/>
        <v>59196.428571428572</v>
      </c>
      <c r="T43" s="2">
        <f t="shared" si="11"/>
        <v>100178.57142857143</v>
      </c>
      <c r="U43" s="2">
        <f t="shared" si="12"/>
        <v>1775892.857142857</v>
      </c>
      <c r="V43" s="2">
        <f t="shared" si="13"/>
        <v>35239285.714285716</v>
      </c>
    </row>
    <row r="44" spans="3:22" s="27" customFormat="1" ht="14.65" thickBot="1" x14ac:dyDescent="0.5">
      <c r="C44" s="20">
        <v>44256</v>
      </c>
      <c r="D44" s="21">
        <f t="shared" ref="D44:G44" si="27">D32*3</f>
        <v>1620</v>
      </c>
      <c r="E44" s="21">
        <f t="shared" si="27"/>
        <v>2700</v>
      </c>
      <c r="F44" s="22">
        <f t="shared" si="27"/>
        <v>135</v>
      </c>
      <c r="G44" s="21">
        <f t="shared" si="27"/>
        <v>270</v>
      </c>
      <c r="H44" s="23">
        <f t="shared" si="3"/>
        <v>1755</v>
      </c>
      <c r="I44" s="24">
        <f t="shared" si="4"/>
        <v>2970</v>
      </c>
      <c r="J44" s="24">
        <f t="shared" si="15"/>
        <v>1000</v>
      </c>
      <c r="K44" s="24">
        <f t="shared" si="16"/>
        <v>30</v>
      </c>
      <c r="L44" s="23">
        <f t="shared" si="5"/>
        <v>1755000</v>
      </c>
      <c r="M44" s="24">
        <f t="shared" si="6"/>
        <v>2970000</v>
      </c>
      <c r="N44" s="24">
        <f t="shared" si="7"/>
        <v>52650000</v>
      </c>
      <c r="O44" s="24">
        <f t="shared" si="8"/>
        <v>89100000</v>
      </c>
      <c r="P44" s="25">
        <f>SUM(N$8:N44)</f>
        <v>635700000</v>
      </c>
      <c r="Q44" s="25">
        <f>SUM(O$8:O44)</f>
        <v>1075800000</v>
      </c>
      <c r="R44" s="26">
        <f t="shared" si="9"/>
        <v>31</v>
      </c>
      <c r="S44" s="24">
        <f t="shared" si="10"/>
        <v>56612.903225806454</v>
      </c>
      <c r="T44" s="24">
        <f t="shared" si="11"/>
        <v>95806.451612903227</v>
      </c>
      <c r="U44" s="24">
        <f t="shared" si="12"/>
        <v>1698387.0967741935</v>
      </c>
      <c r="V44" s="24">
        <f t="shared" si="13"/>
        <v>34703225.806451611</v>
      </c>
    </row>
    <row r="45" spans="3:22" s="3" customFormat="1" ht="14.65" thickTop="1" x14ac:dyDescent="0.45">
      <c r="C45" s="5" t="s">
        <v>23</v>
      </c>
      <c r="D45" s="19">
        <f>SUM(D8:D44)</f>
        <v>19560</v>
      </c>
      <c r="E45" s="19">
        <f t="shared" ref="E45:O45" si="28">SUM(E8:E44)</f>
        <v>32600</v>
      </c>
      <c r="F45" s="19">
        <f t="shared" si="28"/>
        <v>1630</v>
      </c>
      <c r="G45" s="19">
        <f t="shared" si="28"/>
        <v>3260</v>
      </c>
      <c r="H45" s="19">
        <f t="shared" si="28"/>
        <v>21190</v>
      </c>
      <c r="I45" s="19">
        <f t="shared" si="28"/>
        <v>35860</v>
      </c>
      <c r="J45" s="19">
        <f t="shared" si="28"/>
        <v>37000</v>
      </c>
      <c r="K45" s="19">
        <f t="shared" si="28"/>
        <v>1110</v>
      </c>
      <c r="L45" s="19">
        <f t="shared" si="28"/>
        <v>21190000</v>
      </c>
      <c r="M45" s="19">
        <f t="shared" si="28"/>
        <v>35860000</v>
      </c>
      <c r="N45" s="19">
        <f t="shared" si="28"/>
        <v>635700000</v>
      </c>
      <c r="O45" s="19">
        <f t="shared" si="28"/>
        <v>1075800000</v>
      </c>
      <c r="P45" s="3">
        <f>P44</f>
        <v>635700000</v>
      </c>
      <c r="Q45" s="3">
        <f>Q44</f>
        <v>1075800000</v>
      </c>
      <c r="R45" s="19">
        <f t="shared" ref="R45:V45" si="29">SUM(R8:R44)</f>
        <v>1127</v>
      </c>
      <c r="S45" s="19">
        <f t="shared" si="29"/>
        <v>697502.95301657915</v>
      </c>
      <c r="T45" s="19">
        <f t="shared" si="29"/>
        <v>1180389.612797288</v>
      </c>
      <c r="U45" s="19">
        <f t="shared" si="29"/>
        <v>20925088.590497382</v>
      </c>
      <c r="V45" s="19">
        <f t="shared" si="29"/>
        <v>363000040.7860586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Bart Read</dc:creator>
  <cp:lastModifiedBy>Bart Read</cp:lastModifiedBy>
  <dcterms:created xsi:type="dcterms:W3CDTF">2018-03-29T11:51:23Z</dcterms:created>
  <dcterms:modified xsi:type="dcterms:W3CDTF">2018-03-29T12:50:16Z</dcterms:modified>
</cp:coreProperties>
</file>